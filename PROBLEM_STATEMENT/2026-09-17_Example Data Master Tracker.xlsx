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comments2.xml" ContentType="application/vnd.openxmlformats-officedocument.spreadsheetml.comments+xml"/>
  <Override PartName="/xl/tables/table2.xml" ContentType="application/vnd.openxmlformats-officedocument.spreadsheetml.table+xml"/>
  <Override PartName="/xl/comments3.xml" ContentType="application/vnd.openxmlformats-officedocument.spreadsheetml.comments+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documenttasks/documenttask1.xml" ContentType="application/vnd.ms-excel.documenttasks+xml"/>
  <Override PartName="/xl/threadedComments/threadedComment3.xml" ContentType="application/vnd.ms-excel.threadedcomment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mohit.motwani/Downloads/Global Talent Taskforce (No.10)/"/>
    </mc:Choice>
  </mc:AlternateContent>
  <xr:revisionPtr revIDLastSave="0" documentId="13_ncr:1_{91A78F2F-B3C1-1E4C-9D5D-DCAA9ACDEB80}" xr6:coauthVersionLast="47" xr6:coauthVersionMax="47" xr10:uidLastSave="{00000000-0000-0000-0000-000000000000}"/>
  <bookViews>
    <workbookView xWindow="20" yWindow="660" windowWidth="30240" windowHeight="18980" activeTab="1" xr2:uid="{5BD3B0DC-1CB3-4682-997E-878E9C27CB2D}"/>
  </bookViews>
  <sheets>
    <sheet name="Summary View" sheetId="10" r:id="rId1"/>
    <sheet name="GTT Leads" sheetId="1" r:id="rId2"/>
    <sheet name="Closed Accounts Summary" sheetId="2" r:id="rId3"/>
    <sheet name="Failed Leads" sheetId="9" r:id="rId4"/>
    <sheet name="External Partners" sheetId="14" r:id="rId5"/>
  </sheets>
  <definedNames>
    <definedName name="_xlnm.Print_Area" localSheetId="1">GTT_Leads[[Name
Link to AP if applicable]:[Source of lead]]</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14" l="1"/>
  <c r="B5" i="14"/>
  <c r="B6" i="14"/>
  <c r="B3" i="14"/>
  <c r="E4" i="1" a="1"/>
  <c r="E5" i="1" a="1"/>
  <c r="B20" i="10" l="1"/>
  <c r="B28" i="10"/>
  <c r="E8" i="1" a="1"/>
  <c r="E7" i="1" a="1"/>
  <c r="E6" i="1" a="1"/>
  <c r="B6" i="10"/>
  <c r="B5" i="10"/>
  <c r="B3" i="10"/>
  <c r="B44" i="10" l="1"/>
  <c r="B13" i="10"/>
  <c r="B27" i="10"/>
  <c r="B46" i="10"/>
  <c r="B29" i="10" a="1"/>
  <c r="B30" i="10" a="1"/>
  <c r="B41" i="10"/>
  <c r="D9" i="10"/>
  <c r="B37" i="10"/>
  <c r="C10" i="10"/>
  <c r="C9" i="10"/>
  <c r="B50" i="10"/>
  <c r="B35" i="10"/>
  <c r="B54" i="10"/>
  <c r="B19" i="10"/>
  <c r="B24" i="10"/>
  <c r="B4" i="10" a="1"/>
  <c r="B2" i="10" s="1"/>
  <c r="B53" i="10"/>
  <c r="B42" i="10"/>
  <c r="B38" i="10"/>
  <c r="B10" i="10"/>
  <c r="B9" i="10"/>
  <c r="B52" i="10"/>
  <c r="B45" i="10"/>
  <c r="B34" i="10"/>
  <c r="B25" i="10"/>
  <c r="B49" i="10"/>
  <c r="B43" i="10"/>
  <c r="B36" i="10"/>
  <c r="B23" i="10"/>
  <c r="B51" i="10"/>
  <c r="B26" i="10"/>
  <c r="B14" i="10"/>
  <c r="B18" i="10"/>
  <c r="B15" i="10"/>
  <c r="B16" i="10"/>
  <c r="D10" i="10"/>
  <c r="B17" i="10"/>
  <c r="C44" i="10" l="1"/>
  <c r="C4" i="10"/>
  <c r="C16" i="10"/>
  <c r="B31" i="10" l="1"/>
  <c r="C31" i="10" s="1"/>
  <c r="C30" i="10"/>
  <c r="C49" i="10"/>
  <c r="C26" i="10"/>
  <c r="C36" i="10"/>
  <c r="C42" i="10"/>
  <c r="C45" i="10"/>
  <c r="C54" i="10"/>
  <c r="C34" i="10"/>
  <c r="C50" i="10"/>
  <c r="C27" i="10"/>
  <c r="C24" i="10"/>
  <c r="C51" i="10"/>
  <c r="C18" i="10"/>
  <c r="C15" i="10"/>
  <c r="C52" i="10"/>
  <c r="C13" i="10"/>
  <c r="C43" i="10"/>
  <c r="C38" i="10"/>
  <c r="C17" i="10"/>
  <c r="C25" i="10"/>
  <c r="C53" i="10"/>
  <c r="C41" i="10"/>
  <c r="C46" i="10"/>
  <c r="C29" i="10"/>
  <c r="C14" i="10"/>
  <c r="C35" i="10"/>
  <c r="C23" i="10"/>
  <c r="C37" i="10"/>
  <c r="C6" i="10"/>
  <c r="C5" i="10"/>
  <c r="C3" i="10"/>
  <c r="C28" i="10"/>
  <c r="C19" i="10"/>
  <c r="C20"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tc={759BEFD9-894A-4CA0-A468-15A42B1A74EC}</author>
  </authors>
  <commentList>
    <comment ref="A17" authorId="0" shapeId="0" xr:uid="{759BEFD9-894A-4CA0-A468-15A42B1A74EC}">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@Henry LANGDON (OFI) do you think we should start separating out when they've come from Talent Ambassadors?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tc={DE8078FE-84FC-4202-9A46-9D502AE2F7DF}</author>
    <author>tc={414E2D80-2D0F-467E-B5A6-C529879A0682}</author>
    <author>tc={6A4FC64E-C466-47FB-A2D7-52A30415AD9E}</author>
    <author>tc={58EC36AA-278D-4E3C-8428-DFA34269DD11}</author>
  </authors>
  <commentList>
    <comment ref="C3" authorId="0" shapeId="0" xr:uid="{DE8078FE-84FC-4202-9A46-9D502AE2F7DF}">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Can we please split out company and role</t>
        </r>
      </text>
    </comment>
    <comment ref="E3" authorId="1" shapeId="0" xr:uid="{414E2D80-2D0F-467E-B5A6-C529879A0682}">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1= Account Managed
2= Cleared, Green Success, Green Relationship
3= Cleared, Green Success, Amber Relationship
4= Cleared, Amber Success, Green Relationship
5= Cleared, Green Success, Red Relationship
6= Cleared, Amber Success, Amber Relationship
7= Cleared, Amber Success, Red Relationship
8= Cleared, Red Success, Red Relationship</t>
        </r>
      </text>
    </comment>
    <comment ref="G3" authorId="2" shapeId="0" xr:uid="{6A4FC64E-C466-47FB-A2D7-52A30415AD9E}">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How likely is this individual to increase their UK presence?
GREEN = We already know they intend to
AMBER = We believe they could be persuaded 
RED = Unlikely/Unknown</t>
        </r>
      </text>
    </comment>
    <comment ref="I3" authorId="3" shapeId="0" xr:uid="{58EC36AA-278D-4E3C-8428-DFA34269DD11}">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How well are they known by UK Gov?
GREEN = GTT knows them
AMBER = Existing relationship with other HMG team
RED = Cold contact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tc={1B3BE8FE-3003-41AA-AB7E-394DB6ACDBCF}</author>
  </authors>
  <commentList>
    <comment ref="A1" authorId="0" shapeId="0" xr:uid="{1B3BE8FE-3003-41AA-AB7E-394DB6ACDBCF}">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@Alex PARKER2 (DBT) @Janki RANAVAYA (DBT) I have amended this sheet to reflect the feedback you sent over. (Sorry it took a while, got distracted by our many power points!) Let me know if this seems fit for purpose from your perspective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<sst xmlns="http://schemas.openxmlformats.org/spreadsheetml/2006/main" count="265" uniqueCount="184">
  <si>
    <t>Current Residency</t>
  </si>
  <si>
    <t>UK</t>
  </si>
  <si>
    <t>AI</t>
  </si>
  <si>
    <t>Stage</t>
  </si>
  <si>
    <t>Total</t>
  </si>
  <si>
    <t>%</t>
  </si>
  <si>
    <t>Total in Pipeline</t>
  </si>
  <si>
    <t>Currently Account Managed</t>
  </si>
  <si>
    <t>Cleared (To be pitched)</t>
  </si>
  <si>
    <t>Pending Clearance</t>
  </si>
  <si>
    <t>Successfully Converted</t>
  </si>
  <si>
    <t>Prioritisation</t>
  </si>
  <si>
    <t xml:space="preserve">Green  </t>
  </si>
  <si>
    <t xml:space="preserve">Amber </t>
  </si>
  <si>
    <t xml:space="preserve">Red </t>
  </si>
  <si>
    <t>Likelihood of success RAG</t>
  </si>
  <si>
    <t>Strength of relationship RAG</t>
  </si>
  <si>
    <t>Source of referral</t>
  </si>
  <si>
    <t>Post-USA</t>
  </si>
  <si>
    <t>Post-Brazil</t>
  </si>
  <si>
    <t>Number 10</t>
  </si>
  <si>
    <t>OGD</t>
  </si>
  <si>
    <t>External</t>
  </si>
  <si>
    <t>DBT/OfI</t>
  </si>
  <si>
    <t>Post-India</t>
  </si>
  <si>
    <t>Post-Singapore</t>
  </si>
  <si>
    <t>Current residence</t>
  </si>
  <si>
    <t>USA</t>
  </si>
  <si>
    <t>India</t>
  </si>
  <si>
    <t>Singapore</t>
  </si>
  <si>
    <t>Brazil</t>
  </si>
  <si>
    <t>Americas (Other)</t>
  </si>
  <si>
    <t xml:space="preserve">Europe </t>
  </si>
  <si>
    <t>Asia (Other)</t>
  </si>
  <si>
    <t>Other</t>
  </si>
  <si>
    <t>Criteria</t>
  </si>
  <si>
    <t>UHNWI</t>
  </si>
  <si>
    <t>Investor</t>
  </si>
  <si>
    <t>Digital Technologies Talent</t>
  </si>
  <si>
    <t>Life Sciences Talent</t>
  </si>
  <si>
    <t>Clean Energies Talent</t>
  </si>
  <si>
    <t>GTT Priority Sectors</t>
  </si>
  <si>
    <t>Life Sciences</t>
  </si>
  <si>
    <t>Clean Energy</t>
  </si>
  <si>
    <t>Digital &amp; Tech</t>
  </si>
  <si>
    <t>Pan-Economy Investors</t>
  </si>
  <si>
    <t>Type of Individual</t>
  </si>
  <si>
    <t>Founder</t>
  </si>
  <si>
    <t>Highly Talented</t>
  </si>
  <si>
    <t>HNWI</t>
  </si>
  <si>
    <t>C-Suite</t>
  </si>
  <si>
    <t>Researcher</t>
  </si>
  <si>
    <t>At a Glance</t>
  </si>
  <si>
    <t>Stakeholders</t>
  </si>
  <si>
    <t>Further Info</t>
  </si>
  <si>
    <t>Name
Link to AP if applicable</t>
  </si>
  <si>
    <t>Organisation</t>
  </si>
  <si>
    <t>Role</t>
  </si>
  <si>
    <t>Next Step</t>
  </si>
  <si>
    <t>Priority</t>
  </si>
  <si>
    <t>Success RAG</t>
  </si>
  <si>
    <t>Full AM/ Light-touch</t>
  </si>
  <si>
    <t>Relationship RAG</t>
  </si>
  <si>
    <t>Background Check</t>
  </si>
  <si>
    <t>Relationship Holder</t>
  </si>
  <si>
    <t>GTT Account Manager</t>
  </si>
  <si>
    <t>Source of lead</t>
  </si>
  <si>
    <t>Origin Date</t>
  </si>
  <si>
    <t>Link to Data Hub (Where Applicable)</t>
  </si>
  <si>
    <t>Further Background</t>
  </si>
  <si>
    <t>Nationality</t>
  </si>
  <si>
    <t>GTT Priority Sector</t>
  </si>
  <si>
    <t>Joe Green</t>
  </si>
  <si>
    <t>Wind Power Inc</t>
  </si>
  <si>
    <t>CEO</t>
  </si>
  <si>
    <t>Waiting on visa update from HO</t>
  </si>
  <si>
    <t>Account Managed</t>
  </si>
  <si>
    <t>Green</t>
  </si>
  <si>
    <t>Full</t>
  </si>
  <si>
    <t>Clear</t>
  </si>
  <si>
    <t>DSIT</t>
  </si>
  <si>
    <t>Katie</t>
  </si>
  <si>
    <t>Link</t>
  </si>
  <si>
    <t>Denmark</t>
  </si>
  <si>
    <t>Joe is setting up new UK office. Has UK lawyer already and has applied for GTV. GTT is helping to expedite.</t>
  </si>
  <si>
    <t>Danish</t>
  </si>
  <si>
    <t>Anne Rose</t>
  </si>
  <si>
    <t>Bio Capital</t>
  </si>
  <si>
    <t>Henry to set up intro call</t>
  </si>
  <si>
    <t>Cleared</t>
  </si>
  <si>
    <t>Light</t>
  </si>
  <si>
    <t>No10</t>
  </si>
  <si>
    <t>Henry</t>
  </si>
  <si>
    <t>Reached out to No10 for help getting additional CoS.</t>
  </si>
  <si>
    <t>Indian</t>
  </si>
  <si>
    <t>Lea Black</t>
  </si>
  <si>
    <t>Black Family Investments</t>
  </si>
  <si>
    <t>Chairman</t>
  </si>
  <si>
    <t>John Edwards to intro Katie</t>
  </si>
  <si>
    <t>Amber</t>
  </si>
  <si>
    <t>John Edwards</t>
  </si>
  <si>
    <t>No link</t>
  </si>
  <si>
    <t xml:space="preserve">John E met Lea at an event in London. She is considering moving back to US but not yet decided. </t>
  </si>
  <si>
    <t>American</t>
  </si>
  <si>
    <t>Pan Economy Investor</t>
  </si>
  <si>
    <t>Ben White</t>
  </si>
  <si>
    <t>Smart Applications</t>
  </si>
  <si>
    <t>Head of Research</t>
  </si>
  <si>
    <t>Not yet contacted- find way of getting in touch</t>
  </si>
  <si>
    <t>Red</t>
  </si>
  <si>
    <t>Mary</t>
  </si>
  <si>
    <t>Mentioned to Mary by another external company as a potential target. No known relationships within Government so need to find an introduction.</t>
  </si>
  <si>
    <t>Digital/Tech</t>
  </si>
  <si>
    <t>Mike Smith</t>
  </si>
  <si>
    <t>Cognita AI</t>
  </si>
  <si>
    <t>Co-founder</t>
  </si>
  <si>
    <t>Successfully converted</t>
  </si>
  <si>
    <t>Closed</t>
  </si>
  <si>
    <t xml:space="preserve">Interested in relocating with family to UK and establishing London as Rest of World HQ for the business. </t>
  </si>
  <si>
    <t xml:space="preserve">This sheet captures the nature of support that individuals receieved from the Taskforce and what issues they raised. </t>
  </si>
  <si>
    <r>
      <rPr>
        <b/>
        <sz val="11"/>
        <color rgb="FFFFFFFF"/>
        <rFont val="Aptos Narrow"/>
        <family val="2"/>
      </rPr>
      <t xml:space="preserve">Name 
</t>
    </r>
    <r>
      <rPr>
        <i/>
        <sz val="11"/>
        <color rgb="FFFFFFFF"/>
        <rFont val="Aptos Narrow"/>
        <family val="2"/>
        <scheme val="minor"/>
      </rPr>
      <t>And link to account plan for further info</t>
    </r>
  </si>
  <si>
    <t>Date Closed</t>
  </si>
  <si>
    <t>Account Manager</t>
  </si>
  <si>
    <r>
      <rPr>
        <b/>
        <sz val="11"/>
        <color rgb="FFFFFFFF"/>
        <rFont val="Aptos Narrow"/>
        <family val="2"/>
        <scheme val="minor"/>
      </rPr>
      <t xml:space="preserve">Catergory of Issue Raised
</t>
    </r>
    <r>
      <rPr>
        <i/>
        <sz val="11"/>
        <color rgb="FFFFFFFF"/>
        <rFont val="Aptos Narrow"/>
        <family val="2"/>
        <scheme val="minor"/>
      </rPr>
      <t>Visas, Tax, Capital Markets, Banking, Research Incentives, Regulation</t>
    </r>
  </si>
  <si>
    <t>Light Touch/ Full Support</t>
  </si>
  <si>
    <r>
      <rPr>
        <b/>
        <sz val="11"/>
        <color rgb="FFFFFFFF"/>
        <rFont val="Aptos Narrow"/>
        <family val="2"/>
        <scheme val="minor"/>
      </rPr>
      <t xml:space="preserve">Details
</t>
    </r>
    <r>
      <rPr>
        <i/>
        <sz val="11"/>
        <color rgb="FFFFFFFF"/>
        <rFont val="Aptos Narrow"/>
        <family val="2"/>
        <scheme val="minor"/>
      </rPr>
      <t>Details of the issue faced by the individual and which areas of HMG it may relate to</t>
    </r>
  </si>
  <si>
    <r>
      <rPr>
        <b/>
        <sz val="11"/>
        <color rgb="FFFFFFFF"/>
        <rFont val="Aptos Narrow"/>
        <family val="2"/>
        <scheme val="minor"/>
      </rPr>
      <t xml:space="preserve">Solution offered
</t>
    </r>
    <r>
      <rPr>
        <i/>
        <sz val="11"/>
        <color rgb="FFFFFFFF"/>
        <rFont val="Aptos Narrow"/>
        <family val="2"/>
        <scheme val="minor"/>
      </rPr>
      <t>What solutions were provided by the GTT AM function and what OGDs (if any) did you have to work with and how?</t>
    </r>
  </si>
  <si>
    <r>
      <rPr>
        <b/>
        <sz val="11"/>
        <color rgb="FFFFFFFF"/>
        <rFont val="Aptos Narrow"/>
        <family val="2"/>
        <scheme val="minor"/>
      </rPr>
      <t xml:space="preserve">Was issue resolved?
</t>
    </r>
    <r>
      <rPr>
        <i/>
        <sz val="11"/>
        <color rgb="FFFFFFFF"/>
        <rFont val="Aptos Narrow"/>
        <family val="2"/>
        <scheme val="minor"/>
      </rPr>
      <t>[Y/N/Partially] – if N/partially, provide details</t>
    </r>
  </si>
  <si>
    <r>
      <rPr>
        <b/>
        <sz val="11"/>
        <color rgb="FFFFFFFF"/>
        <rFont val="Aptos Narrow"/>
        <family val="2"/>
        <scheme val="minor"/>
      </rPr>
      <t xml:space="preserve">Overall Outcome
</t>
    </r>
    <r>
      <rPr>
        <sz val="11"/>
        <color rgb="FFFFFFFF"/>
        <rFont val="Aptos Narrow"/>
        <family val="2"/>
        <scheme val="minor"/>
      </rPr>
      <t xml:space="preserve">Current status of individual. Did they relocate to the UK or increase their presence here? </t>
    </r>
  </si>
  <si>
    <t>Meets success criteria?</t>
  </si>
  <si>
    <t>Success Category</t>
  </si>
  <si>
    <r>
      <t xml:space="preserve">Key Escalations
</t>
    </r>
    <r>
      <rPr>
        <i/>
        <sz val="11"/>
        <color rgb="FFFFFFFF"/>
        <rFont val="Aptos Narrow"/>
        <family val="2"/>
        <scheme val="minor"/>
      </rPr>
      <t>Any key issues demonstrated by this case that we may want to escalate either internally or whith OGDs.</t>
    </r>
  </si>
  <si>
    <t>GTT Promotion</t>
  </si>
  <si>
    <t>Visas, Business support</t>
  </si>
  <si>
    <t xml:space="preserve">Needed visas for himself and his family to relocate (wasn't sure which route to take and concerned abou timelines). 
Wanted connections to founder community and potential future investors to help him set up in London. 
Wanted ability to bring over top talent from the US to help set up new UK business. </t>
  </si>
  <si>
    <t xml:space="preserve">Introduced to UK lawyers who supported with visa. Expedited GTV application (after endorsement was secured) and family's visas. Invited to founder event with Tech Nation. Supported with getting skilled worker visa sponsor licence and visas for US talent. </t>
  </si>
  <si>
    <t>Yes</t>
  </si>
  <si>
    <t>Established UK office with 5 local hires and 3 relocated from US</t>
  </si>
  <si>
    <t>Y</t>
  </si>
  <si>
    <t>Full Relocation</t>
  </si>
  <si>
    <t>No</t>
  </si>
  <si>
    <t>Sharing press notice on new office opening with mention of GTT</t>
  </si>
  <si>
    <t>Name</t>
  </si>
  <si>
    <t>Conmpany</t>
  </si>
  <si>
    <t>Reason for Failure</t>
  </si>
  <si>
    <t>Bob Baker</t>
  </si>
  <si>
    <t>One company</t>
  </si>
  <si>
    <t>Not GTT level seniority</t>
  </si>
  <si>
    <t>Harriet Butcher</t>
  </si>
  <si>
    <t>Another company</t>
  </si>
  <si>
    <t>High reputational risk</t>
  </si>
  <si>
    <t>Service Providers Summary</t>
  </si>
  <si>
    <t>Agreed Partnerships</t>
  </si>
  <si>
    <t>Legal Services</t>
  </si>
  <si>
    <t>Finance/Accounting</t>
  </si>
  <si>
    <t>Investment</t>
  </si>
  <si>
    <t>Real Estate</t>
  </si>
  <si>
    <t>Title</t>
  </si>
  <si>
    <t>Sector</t>
  </si>
  <si>
    <t>Customers</t>
  </si>
  <si>
    <t>Based</t>
  </si>
  <si>
    <t>Origin</t>
  </si>
  <si>
    <t>Background check</t>
  </si>
  <si>
    <t>Notes</t>
  </si>
  <si>
    <t>Joe Bloggs</t>
  </si>
  <si>
    <t>Bloggs, Clark, Smith</t>
  </si>
  <si>
    <t>Partner</t>
  </si>
  <si>
    <t>Partnership Agreed</t>
  </si>
  <si>
    <t>Founders</t>
  </si>
  <si>
    <t>London</t>
  </si>
  <si>
    <t>OfI</t>
  </si>
  <si>
    <t>John Smith</t>
  </si>
  <si>
    <t>Finance Solutions</t>
  </si>
  <si>
    <t>Accountant</t>
  </si>
  <si>
    <t>Pitched</t>
  </si>
  <si>
    <t>Start-up businesses</t>
  </si>
  <si>
    <t>Manchester</t>
  </si>
  <si>
    <t>Met at event</t>
  </si>
  <si>
    <t>Jane Doe</t>
  </si>
  <si>
    <t>Homes Finder</t>
  </si>
  <si>
    <t>Head of Sales</t>
  </si>
  <si>
    <t>Pursuing Partnership</t>
  </si>
  <si>
    <t>UHNWI / Families</t>
  </si>
  <si>
    <t>Through customer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</si>
</sst>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b/>
      <sz val="11"/>
      <color theme="1"/>
      <name val="Aptos Narrow"/>
      <family val="2"/>
      <scheme val="minor"/>
    </font>
    <font>
      <sz val="11"/>
      <color rgb="FF000000"/>
      <name val="Aptos Narrow"/>
      <family val="2"/>
      <scheme val="minor"/>
    </font>
    <font>
      <b/>
      <sz val="11"/>
      <color rgb="FFFFFFFF"/>
      <name val="Aptos Narrow"/>
      <family val="2"/>
      <scheme val="minor"/>
    </font>
    <font>
      <i/>
      <sz val="11"/>
      <color rgb="FFFFFFFF"/>
      <name val="Aptos Narrow"/>
      <family val="2"/>
      <scheme val="minor"/>
    </font>
    <font>
      <sz val="11"/>
      <color rgb="FFFFFFFF"/>
      <name val="Aptos Narrow"/>
      <family val="2"/>
      <scheme val="minor"/>
    </font>
    <font>
      <sz val="16"/>
      <color rgb="FF000000"/>
      <name val="Aptos Narrow"/>
      <family val="2"/>
      <scheme val="minor"/>
    </font>
    <font>
      <u/>
      <sz val="11"/>
      <color theme="10"/>
      <name val="Aptos Narrow"/>
      <family val="2"/>
      <scheme val="minor"/>
    </font>
    <font>
      <b/>
      <sz val="11"/>
      <color rgb="FFFFFFFF"/>
      <name val="Aptos Narrow"/>
      <family val="2"/>
    </font>
    <font>
      <sz val="11"/>
      <color rgb="FFFFFFFF"/>
      <name val="Aptos Narrow"/>
      <family val="2"/>
    </font>
    <font>
      <sz val="11"/>
      <color theme="1"/>
      <name val="Aptos Narrow"/>
      <family val="2"/>
      <scheme val="minor"/>
    </font>
    <font>
      <b/>
      <sz val="11"/>
      <color rgb="FF000000"/>
      <name val="Aptos Narrow"/>
      <family val="2"/>
      <scheme val="minor"/>
    </font>
    <font>
      <sz val="11"/>
      <color theme="0"/>
      <name val="Aptos Narrow"/>
      <family val="2"/>
      <scheme val="minor"/>
    </font>
    <font>
      <sz val="16"/>
      <color theme="1"/>
      <name val="Aptos Narrow"/>
      <family val="2"/>
      <scheme val="minor"/>
    </font>
  </fonts>
  <fills count="16">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6" tint="0.59999389629810485"/>
        <bgColor indexed="64"/>
      </patternFill>
    </fill>
    <fill>
      <patternFill patternType="solid">
        <fgColor theme="1"/>
        <bgColor indexed="64"/>
      </patternFill>
    </fill>
    <fill>
      <patternFill patternType="solid">
        <fgColor rgb="FFFF5050"/>
        <bgColor indexed="64"/>
      </patternFill>
    </fill>
    <fill>
      <patternFill patternType="solid">
        <fgColor rgb="FFFF9966"/>
        <bgColor indexed="64"/>
      </patternFill>
    </fill>
    <fill>
      <patternFill patternType="solid">
        <fgColor theme="6"/>
        <bgColor indexed="64"/>
      </patternFill>
    </fill>
    <fill>
      <patternFill patternType="solid">
        <fgColor theme="4"/>
        <bgColor indexed="64"/>
      </patternFill>
    </fill>
    <fill>
      <patternFill patternType="solid">
        <fgColor theme="8"/>
        <bgColor indexed="64"/>
      </patternFill>
    </fill>
    <fill>
      <patternFill patternType="solid">
        <fgColor theme="2"/>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8" tint="0.59999389629810485"/>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style="thin">
        <color indexed="64"/>
      </bottom>
      <diagonal/>
    </border>
    <border>
      <left style="medium">
        <color indexed="64"/>
      </left>
      <right style="thin">
        <color indexed="64"/>
      </right>
      <top style="thin">
        <color indexed="64"/>
      </top>
      <bottom/>
      <diagonal/>
    </border>
    <border>
      <left/>
      <right/>
      <top/>
      <bottom style="thin">
        <color indexed="64"/>
      </bottom>
      <diagonal/>
    </border>
    <border>
      <left/>
      <right/>
      <top style="thin">
        <color indexed="64"/>
      </top>
      <bottom style="thin">
        <color indexed="64"/>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indexed="64"/>
      </left>
      <right/>
      <top style="thin">
        <color theme="1"/>
      </top>
      <bottom/>
      <diagonal/>
    </border>
    <border>
      <left style="thin">
        <color indexed="64"/>
      </left>
      <right/>
      <top/>
      <bottom style="thin">
        <color indexed="64"/>
      </bottom>
      <diagonal/>
    </border>
    <border>
      <left/>
      <right/>
      <top style="thin">
        <color indexed="64"/>
      </top>
      <bottom/>
      <diagonal/>
    </border>
    <border>
      <left style="medium">
        <color indexed="64"/>
      </left>
      <right style="thin">
        <color rgb="FF000000"/>
      </right>
      <top/>
      <bottom style="thin">
        <color rgb="FF000000"/>
      </bottom>
      <diagonal/>
    </border>
    <border>
      <left style="thin">
        <color rgb="FF000000"/>
      </left>
      <right style="medium">
        <color indexed="64"/>
      </right>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indexed="64"/>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top/>
      <bottom/>
      <diagonal/>
    </border>
    <border>
      <left style="medium">
        <color indexed="64"/>
      </left>
      <right style="thin">
        <color rgb="FF000000"/>
      </right>
      <top style="thin">
        <color rgb="FF000000"/>
      </top>
      <bottom/>
      <diagonal/>
    </border>
    <border>
      <left style="thin">
        <color indexed="64"/>
      </left>
      <right style="medium">
        <color indexed="64"/>
      </right>
      <top style="thin">
        <color indexed="64"/>
      </top>
      <bottom/>
      <diagonal/>
    </border>
    <border>
      <left style="thin">
        <color rgb="FF000000"/>
      </left>
      <right style="medium">
        <color indexed="64"/>
      </right>
      <top style="thin">
        <color rgb="FF000000"/>
      </top>
      <bottom/>
      <diagonal/>
    </border>
    <border>
      <left style="thin">
        <color indexed="64"/>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s>
  <cellStyleXfs count="3">
    <xf numFmtId="0" fontId="0" fillId="0" borderId="0"/>
    <xf numFmtId="0" fontId="7" fillId="0" borderId="0" applyNumberFormat="0" applyFill="0" applyBorder="0" applyAlignment="0" applyProtection="0"/>
    <xf numFmtId="0" fontId="7" fillId="0" borderId="0"/>
  </cellStyleXfs>
  <cellXfs count="121">
    <xf numFmtId="0" fontId="0" fillId="0" borderId="0" xfId="0"/>
    <xf numFmtId="0" fontId="1" fillId="3" borderId="4" xfId="0" applyFont="1" applyFill="1" applyBorder="1"/>
    <xf numFmtId="0" fontId="0" fillId="0" borderId="6" xfId="0" applyBorder="1"/>
    <xf numFmtId="0" fontId="0" fillId="0" borderId="0" xfId="0" applyAlignment="1">
      <alignment vertical="top"/>
    </xf>
    <xf numFmtId="0" fontId="5" fillId="0" borderId="0" xfId="0" applyFont="1" applyAlignment="1">
      <alignment vertical="top" wrapText="1"/>
    </xf>
    <xf numFmtId="0" fontId="0" fillId="0" borderId="0" xfId="0" applyAlignment="1">
      <alignment wrapText="1"/>
    </xf>
    <xf numFmtId="0" fontId="9" fillId="0" borderId="0" xfId="0" applyFont="1" applyAlignment="1">
      <alignment vertical="top" wrapText="1"/>
    </xf>
    <xf numFmtId="0" fontId="1" fillId="2" borderId="0" xfId="0" applyFont="1" applyFill="1"/>
    <xf numFmtId="14" fontId="0" fillId="0" borderId="0" xfId="0" applyNumberFormat="1"/>
    <xf numFmtId="0" fontId="0" fillId="0" borderId="1" xfId="0" applyBorder="1"/>
    <xf numFmtId="0" fontId="0" fillId="0" borderId="1" xfId="0" applyBorder="1" applyAlignment="1">
      <alignment horizontal="left" vertical="top" wrapText="1"/>
    </xf>
    <xf numFmtId="0" fontId="0" fillId="0" borderId="14" xfId="0" applyBorder="1"/>
    <xf numFmtId="0" fontId="0" fillId="0" borderId="16" xfId="0" applyBorder="1"/>
    <xf numFmtId="0" fontId="2" fillId="3" borderId="1" xfId="0" applyFont="1" applyFill="1" applyBorder="1" applyAlignment="1">
      <alignment horizontal="left" vertical="top" wrapText="1"/>
    </xf>
    <xf numFmtId="0" fontId="5" fillId="5" borderId="1" xfId="0" applyFont="1" applyFill="1" applyBorder="1" applyAlignment="1">
      <alignment horizontal="left" vertical="top" wrapText="1"/>
    </xf>
    <xf numFmtId="0" fontId="0" fillId="5" borderId="1" xfId="0" applyFill="1" applyBorder="1" applyAlignment="1">
      <alignment horizontal="left" vertical="top" wrapText="1"/>
    </xf>
    <xf numFmtId="0" fontId="5" fillId="9" borderId="1" xfId="0" applyFont="1" applyFill="1" applyBorder="1" applyAlignment="1">
      <alignment horizontal="left" vertical="top" wrapText="1"/>
    </xf>
    <xf numFmtId="0" fontId="0" fillId="9" borderId="1" xfId="0" applyFill="1" applyBorder="1" applyAlignment="1">
      <alignment horizontal="left" vertical="top"/>
    </xf>
    <xf numFmtId="0" fontId="5" fillId="9" borderId="8" xfId="0" applyFont="1" applyFill="1" applyBorder="1" applyAlignment="1">
      <alignment horizontal="left" vertical="top" wrapText="1"/>
    </xf>
    <xf numFmtId="0" fontId="5" fillId="8" borderId="1" xfId="0" applyFont="1" applyFill="1" applyBorder="1" applyAlignment="1">
      <alignment horizontal="left" vertical="top" wrapText="1"/>
    </xf>
    <xf numFmtId="0" fontId="0" fillId="8" borderId="1" xfId="0" applyFill="1" applyBorder="1" applyAlignment="1">
      <alignment horizontal="left" vertical="top"/>
    </xf>
    <xf numFmtId="0" fontId="12" fillId="10" borderId="1" xfId="0" applyFont="1" applyFill="1" applyBorder="1" applyAlignment="1">
      <alignment horizontal="left" vertical="top" wrapText="1"/>
    </xf>
    <xf numFmtId="0" fontId="0" fillId="10" borderId="1" xfId="0" applyFill="1" applyBorder="1" applyAlignment="1">
      <alignment horizontal="left" vertical="top" wrapText="1"/>
    </xf>
    <xf numFmtId="0" fontId="5" fillId="10" borderId="1" xfId="0" applyFont="1" applyFill="1" applyBorder="1" applyAlignment="1">
      <alignment horizontal="left" vertical="top" wrapText="1"/>
    </xf>
    <xf numFmtId="0" fontId="0" fillId="10" borderId="1" xfId="0" applyFill="1" applyBorder="1" applyAlignment="1">
      <alignment horizontal="left" vertical="top"/>
    </xf>
    <xf numFmtId="0" fontId="0" fillId="0" borderId="3" xfId="0" applyBorder="1" applyAlignment="1">
      <alignment horizontal="left" vertical="top" wrapText="1"/>
    </xf>
    <xf numFmtId="14" fontId="0" fillId="0" borderId="1" xfId="0" applyNumberFormat="1" applyBorder="1" applyAlignment="1">
      <alignment horizontal="left" vertical="top" wrapText="1"/>
    </xf>
    <xf numFmtId="0" fontId="0" fillId="0" borderId="0" xfId="0" applyAlignment="1">
      <alignment horizontal="left" vertical="top"/>
    </xf>
    <xf numFmtId="0" fontId="0" fillId="0" borderId="2" xfId="0" applyBorder="1" applyAlignment="1">
      <alignment horizontal="left" vertical="top"/>
    </xf>
    <xf numFmtId="0" fontId="0" fillId="0" borderId="4" xfId="0" applyBorder="1" applyAlignment="1">
      <alignment horizontal="left" vertical="top"/>
    </xf>
    <xf numFmtId="14" fontId="10" fillId="0" borderId="1" xfId="0" applyNumberFormat="1" applyFont="1" applyBorder="1" applyAlignment="1">
      <alignment horizontal="left" vertical="top" wrapText="1"/>
    </xf>
    <xf numFmtId="0" fontId="0" fillId="0" borderId="1" xfId="0" applyBorder="1" applyAlignment="1">
      <alignment horizontal="left" vertical="top"/>
    </xf>
    <xf numFmtId="0" fontId="0" fillId="0" borderId="3" xfId="0" applyBorder="1" applyAlignment="1">
      <alignment horizontal="left" vertical="top"/>
    </xf>
    <xf numFmtId="0" fontId="0" fillId="0" borderId="0" xfId="0" applyAlignment="1">
      <alignment horizontal="left" vertical="top" wrapText="1"/>
    </xf>
    <xf numFmtId="0" fontId="10" fillId="0" borderId="0" xfId="0" applyFont="1" applyAlignment="1">
      <alignment horizontal="left" vertical="top"/>
    </xf>
    <xf numFmtId="0" fontId="0" fillId="0" borderId="10" xfId="0" applyBorder="1" applyAlignment="1">
      <alignment horizontal="left" vertical="top" wrapText="1"/>
    </xf>
    <xf numFmtId="0" fontId="0" fillId="0" borderId="9" xfId="0" applyBorder="1" applyAlignment="1">
      <alignment horizontal="left" vertical="top"/>
    </xf>
    <xf numFmtId="0" fontId="0" fillId="0" borderId="8" xfId="0" applyBorder="1" applyAlignment="1">
      <alignment horizontal="left" vertical="top" wrapText="1"/>
    </xf>
    <xf numFmtId="0" fontId="0" fillId="2" borderId="1" xfId="0" applyFill="1" applyBorder="1" applyAlignment="1">
      <alignment horizontal="left" vertical="top"/>
    </xf>
    <xf numFmtId="0" fontId="0" fillId="0" borderId="24" xfId="0" applyBorder="1"/>
    <xf numFmtId="0" fontId="0" fillId="0" borderId="26" xfId="0" applyBorder="1"/>
    <xf numFmtId="0" fontId="0" fillId="0" borderId="30" xfId="0" applyBorder="1"/>
    <xf numFmtId="0" fontId="0" fillId="0" borderId="31" xfId="0" applyBorder="1"/>
    <xf numFmtId="0" fontId="11" fillId="4" borderId="32" xfId="0" applyFont="1" applyFill="1" applyBorder="1" applyAlignment="1">
      <alignment vertical="top" wrapText="1"/>
    </xf>
    <xf numFmtId="0" fontId="11" fillId="7" borderId="32" xfId="0" applyFont="1" applyFill="1" applyBorder="1" applyAlignment="1">
      <alignment vertical="top" wrapText="1"/>
    </xf>
    <xf numFmtId="0" fontId="11" fillId="6" borderId="28" xfId="0" applyFont="1" applyFill="1" applyBorder="1" applyAlignment="1">
      <alignment vertical="top" wrapText="1"/>
    </xf>
    <xf numFmtId="0" fontId="1" fillId="12" borderId="27" xfId="0" applyFont="1" applyFill="1" applyBorder="1"/>
    <xf numFmtId="0" fontId="1" fillId="0" borderId="29" xfId="0" applyFont="1" applyBorder="1"/>
    <xf numFmtId="0" fontId="1" fillId="0" borderId="23" xfId="0" applyFont="1" applyBorder="1"/>
    <xf numFmtId="0" fontId="1" fillId="0" borderId="25" xfId="0" applyFont="1" applyBorder="1"/>
    <xf numFmtId="0" fontId="1" fillId="0" borderId="13" xfId="0" applyFont="1" applyBorder="1"/>
    <xf numFmtId="0" fontId="1" fillId="0" borderId="15" xfId="0" applyFont="1" applyBorder="1"/>
    <xf numFmtId="0" fontId="1" fillId="12" borderId="11" xfId="0" applyFont="1" applyFill="1" applyBorder="1"/>
    <xf numFmtId="0" fontId="1" fillId="12" borderId="12" xfId="0" applyFont="1" applyFill="1" applyBorder="1"/>
    <xf numFmtId="0" fontId="1" fillId="0" borderId="18" xfId="0" applyFont="1" applyBorder="1"/>
    <xf numFmtId="0" fontId="0" fillId="0" borderId="33" xfId="0" applyBorder="1" applyAlignment="1">
      <alignment horizontal="left" vertical="top"/>
    </xf>
    <xf numFmtId="0" fontId="2" fillId="3" borderId="8" xfId="0" applyFont="1" applyFill="1" applyBorder="1" applyAlignment="1">
      <alignment horizontal="left" vertical="top" wrapText="1"/>
    </xf>
    <xf numFmtId="0" fontId="11" fillId="12" borderId="0" xfId="0" applyFont="1" applyFill="1"/>
    <xf numFmtId="0" fontId="11" fillId="12" borderId="0" xfId="0" applyFont="1" applyFill="1" applyAlignment="1">
      <alignment wrapText="1"/>
    </xf>
    <xf numFmtId="0" fontId="1" fillId="12" borderId="21" xfId="0" applyFont="1" applyFill="1" applyBorder="1"/>
    <xf numFmtId="0" fontId="1" fillId="12" borderId="22" xfId="0" applyFont="1" applyFill="1" applyBorder="1"/>
    <xf numFmtId="0" fontId="0" fillId="0" borderId="35" xfId="0" applyBorder="1" applyAlignment="1">
      <alignment horizontal="left" vertical="top"/>
    </xf>
    <xf numFmtId="0" fontId="0" fillId="0" borderId="3" xfId="0" applyBorder="1"/>
    <xf numFmtId="0" fontId="0" fillId="0" borderId="2" xfId="0" applyBorder="1"/>
    <xf numFmtId="0" fontId="1" fillId="10" borderId="17" xfId="0" applyFont="1" applyFill="1" applyBorder="1"/>
    <xf numFmtId="0" fontId="1" fillId="10" borderId="7" xfId="0" applyFont="1" applyFill="1" applyBorder="1"/>
    <xf numFmtId="0" fontId="1" fillId="10" borderId="34" xfId="0" applyFont="1" applyFill="1" applyBorder="1"/>
    <xf numFmtId="0" fontId="0" fillId="0" borderId="8" xfId="0" applyBorder="1" applyAlignment="1">
      <alignment horizontal="left" vertical="top"/>
    </xf>
    <xf numFmtId="0" fontId="1" fillId="3" borderId="13" xfId="0" applyFont="1" applyFill="1" applyBorder="1"/>
    <xf numFmtId="0" fontId="1" fillId="0" borderId="36" xfId="0" applyFont="1" applyBorder="1"/>
    <xf numFmtId="0" fontId="0" fillId="0" borderId="37" xfId="0" applyBorder="1"/>
    <xf numFmtId="0" fontId="1" fillId="0" borderId="38" xfId="0" applyFont="1" applyBorder="1"/>
    <xf numFmtId="0" fontId="0" fillId="0" borderId="39" xfId="0" applyBorder="1"/>
    <xf numFmtId="0" fontId="1" fillId="0" borderId="40" xfId="0" applyFont="1" applyBorder="1"/>
    <xf numFmtId="0" fontId="0" fillId="0" borderId="41" xfId="0" applyBorder="1"/>
    <xf numFmtId="0" fontId="1" fillId="0" borderId="0" xfId="0" applyFont="1"/>
    <xf numFmtId="0" fontId="3" fillId="5" borderId="1" xfId="0" applyFont="1" applyFill="1" applyBorder="1" applyAlignment="1">
      <alignment horizontal="left" vertical="top" wrapText="1"/>
    </xf>
    <xf numFmtId="0" fontId="0" fillId="14" borderId="0" xfId="0" applyFill="1"/>
    <xf numFmtId="0" fontId="0" fillId="0" borderId="23" xfId="0" applyBorder="1"/>
    <xf numFmtId="0" fontId="0" fillId="0" borderId="25" xfId="0" applyBorder="1"/>
    <xf numFmtId="0" fontId="0" fillId="0" borderId="21" xfId="0" applyBorder="1"/>
    <xf numFmtId="0" fontId="0" fillId="0" borderId="22" xfId="0" applyBorder="1"/>
    <xf numFmtId="0" fontId="10" fillId="0" borderId="1" xfId="0" applyFont="1" applyBorder="1" applyAlignment="1">
      <alignment horizontal="left" vertical="top"/>
    </xf>
    <xf numFmtId="0" fontId="0" fillId="0" borderId="9" xfId="0" applyBorder="1" applyAlignment="1">
      <alignment horizontal="left" vertical="top" wrapText="1"/>
    </xf>
    <xf numFmtId="0" fontId="0" fillId="0" borderId="17" xfId="0" applyBorder="1" applyAlignment="1">
      <alignment horizontal="left" vertical="top"/>
    </xf>
    <xf numFmtId="0" fontId="0" fillId="0" borderId="7" xfId="0" applyBorder="1" applyAlignment="1">
      <alignment horizontal="left" vertical="top" wrapText="1"/>
    </xf>
    <xf numFmtId="0" fontId="1" fillId="12" borderId="44" xfId="0" applyFont="1" applyFill="1" applyBorder="1"/>
    <xf numFmtId="0" fontId="1" fillId="12" borderId="45" xfId="0" applyFont="1" applyFill="1" applyBorder="1"/>
    <xf numFmtId="0" fontId="1" fillId="0" borderId="46" xfId="0" applyFont="1" applyBorder="1"/>
    <xf numFmtId="0" fontId="1" fillId="0" borderId="47" xfId="0" applyFont="1" applyBorder="1"/>
    <xf numFmtId="0" fontId="0" fillId="0" borderId="48" xfId="0" applyBorder="1"/>
    <xf numFmtId="0" fontId="0" fillId="0" borderId="16" xfId="0" applyBorder="1" applyAlignment="1">
      <alignment horizontal="right" wrapText="1"/>
    </xf>
    <xf numFmtId="0" fontId="0" fillId="0" borderId="20" xfId="0" applyBorder="1" applyAlignment="1">
      <alignment horizontal="left" vertical="top"/>
    </xf>
    <xf numFmtId="9" fontId="0" fillId="0" borderId="14" xfId="0" applyNumberFormat="1" applyBorder="1"/>
    <xf numFmtId="9" fontId="0" fillId="0" borderId="37" xfId="0" applyNumberFormat="1" applyBorder="1"/>
    <xf numFmtId="9" fontId="0" fillId="0" borderId="39" xfId="0" applyNumberFormat="1" applyBorder="1"/>
    <xf numFmtId="9" fontId="0" fillId="0" borderId="41" xfId="0" applyNumberFormat="1" applyBorder="1"/>
    <xf numFmtId="9" fontId="0" fillId="0" borderId="16" xfId="0" applyNumberFormat="1" applyBorder="1"/>
    <xf numFmtId="9" fontId="0" fillId="0" borderId="48" xfId="0" applyNumberFormat="1" applyBorder="1"/>
    <xf numFmtId="9" fontId="0" fillId="0" borderId="16" xfId="0" applyNumberFormat="1" applyBorder="1" applyAlignment="1">
      <alignment horizontal="right" wrapText="1"/>
    </xf>
    <xf numFmtId="9" fontId="0" fillId="0" borderId="24" xfId="0" applyNumberFormat="1" applyBorder="1"/>
    <xf numFmtId="9" fontId="0" fillId="0" borderId="49" xfId="0" applyNumberFormat="1" applyBorder="1"/>
    <xf numFmtId="9" fontId="0" fillId="3" borderId="4" xfId="0" applyNumberFormat="1" applyFill="1" applyBorder="1"/>
    <xf numFmtId="0" fontId="0" fillId="0" borderId="5" xfId="0" applyBorder="1" applyAlignment="1">
      <alignment horizontal="left" vertical="top"/>
    </xf>
    <xf numFmtId="0" fontId="7" fillId="0" borderId="0" xfId="1" applyAlignment="1">
      <alignment horizontal="left" vertical="top"/>
    </xf>
    <xf numFmtId="0" fontId="1" fillId="12" borderId="51" xfId="0" applyFont="1" applyFill="1" applyBorder="1"/>
    <xf numFmtId="0" fontId="0" fillId="0" borderId="52" xfId="0" applyBorder="1"/>
    <xf numFmtId="14" fontId="10" fillId="0" borderId="8" xfId="0" applyNumberFormat="1" applyFont="1" applyBorder="1" applyAlignment="1">
      <alignment horizontal="left" vertical="top" wrapText="1"/>
    </xf>
    <xf numFmtId="0" fontId="0" fillId="0" borderId="35" xfId="0" applyBorder="1" applyAlignment="1">
      <alignment horizontal="left" vertical="top" wrapText="1"/>
    </xf>
    <xf numFmtId="0" fontId="6" fillId="14" borderId="0" xfId="0" applyFont="1" applyFill="1" applyAlignment="1">
      <alignment horizontal="left" vertical="top" wrapText="1"/>
    </xf>
    <xf numFmtId="0" fontId="6" fillId="14" borderId="19" xfId="0" applyFont="1" applyFill="1" applyBorder="1" applyAlignment="1">
      <alignment horizontal="left" vertical="top" wrapText="1"/>
    </xf>
    <xf numFmtId="0" fontId="6" fillId="13" borderId="50" xfId="0" applyFont="1" applyFill="1" applyBorder="1" applyAlignment="1">
      <alignment vertical="top" wrapText="1"/>
    </xf>
    <xf numFmtId="0" fontId="6" fillId="13" borderId="0" xfId="0" applyFont="1" applyFill="1" applyAlignment="1">
      <alignment vertical="top" wrapText="1"/>
    </xf>
    <xf numFmtId="0" fontId="6" fillId="13" borderId="19" xfId="0" applyFont="1" applyFill="1" applyBorder="1" applyAlignment="1">
      <alignment vertical="top" wrapText="1"/>
    </xf>
    <xf numFmtId="0" fontId="6" fillId="12" borderId="35" xfId="0" applyFont="1" applyFill="1" applyBorder="1" applyAlignment="1">
      <alignment vertical="top" wrapText="1"/>
    </xf>
    <xf numFmtId="0" fontId="6" fillId="12" borderId="19" xfId="0" applyFont="1" applyFill="1" applyBorder="1" applyAlignment="1">
      <alignment vertical="top" wrapText="1"/>
    </xf>
    <xf numFmtId="0" fontId="6" fillId="11" borderId="0" xfId="0" applyFont="1" applyFill="1" applyAlignment="1">
      <alignment horizontal="left" vertical="top" wrapText="1"/>
    </xf>
    <xf numFmtId="0" fontId="6" fillId="11" borderId="19" xfId="0" applyFont="1" applyFill="1" applyBorder="1" applyAlignment="1">
      <alignment horizontal="left" vertical="top" wrapText="1"/>
    </xf>
    <xf numFmtId="0" fontId="13" fillId="14" borderId="0" xfId="0" applyFont="1" applyFill="1" applyAlignment="1">
      <alignment horizontal="center"/>
    </xf>
    <xf numFmtId="0" fontId="1" fillId="15" borderId="42" xfId="0" applyFont="1" applyFill="1" applyBorder="1" applyAlignment="1">
      <alignment horizontal="center"/>
    </xf>
    <xf numFmtId="0" fontId="1" fillId="15" borderId="43" xfId="0" applyFont="1" applyFill="1" applyBorder="1" applyAlignment="1">
      <alignment horizontal="center"/>
    </xf>
  </cellXfs>
  <cellStyles count="3">
    <cellStyle name="Hyperlink" xfId="1" builtinId="8"/>
    <cellStyle name="Hyperlink 2" xfId="2" xr:uid="{85D3DFF1-9403-4E6E-9F26-125CBAEE253E}"/>
    <cellStyle name="Normal" xfId="0" builtinId="0"/>
  </cellStyles>
  <dxfs count="71">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bgColor theme="7" tint="0.39997558519241921"/>
        </patternFill>
      </fill>
    </dxf>
    <dxf>
      <fill>
        <patternFill patternType="solid">
          <bgColor theme="7"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color rgb="FF000000"/>
        <name val="Calibri"/>
        <family val="2"/>
        <scheme val="none"/>
      </font>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Narrow"/>
        <family val="2"/>
        <scheme val="minor"/>
      </font>
      <fill>
        <patternFill patternType="solid">
          <fgColor indexed="64"/>
          <bgColor theme="8"/>
        </patternFill>
      </fill>
      <border diagonalUp="0" diagonalDown="0">
        <left style="thin">
          <color indexed="64"/>
        </left>
        <right style="thin">
          <color indexed="64"/>
        </right>
        <top/>
        <bottom/>
      </border>
    </dxf>
    <dxf>
      <font>
        <b val="0"/>
        <i val="0"/>
        <strike val="0"/>
        <condense val="0"/>
        <extend val="0"/>
        <outline val="0"/>
        <shadow val="0"/>
        <u val="none"/>
        <vertAlign val="baseline"/>
        <sz val="11"/>
        <color rgb="FF000000"/>
        <name val="Aptos Narrow"/>
        <family val="2"/>
        <scheme val="minor"/>
      </font>
      <fill>
        <patternFill patternType="solid">
          <fgColor indexed="64"/>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Aptos Narrow"/>
        <family val="2"/>
        <scheme val="minor"/>
      </font>
      <fill>
        <patternFill patternType="solid">
          <fgColor indexed="64"/>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ertAlign val="baseline"/>
        <sz val="11"/>
        <color theme="10"/>
        <name val="Aptos Narrow"/>
        <family val="2"/>
        <scheme val="minor"/>
      </font>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bottom style="thin">
          <color indexed="64"/>
        </bottom>
      </border>
    </dxf>
    <dxf>
      <font>
        <color rgb="FF000000"/>
      </font>
    </dxf>
    <dxf>
      <alignment wrapText="1"/>
    </dxf>
    <dxf>
      <alignment wrapText="1"/>
    </dxf>
    <dxf>
      <alignment wrapText="1"/>
    </dxf>
    <dxf>
      <alignment horizontal="general" vertical="bottom" textRotation="0" wrapText="1" indent="0" justifyLastLine="0" shrinkToFit="0" readingOrder="0"/>
    </dxf>
    <dxf>
      <border diagonalUp="0" diagonalDown="0" outline="0">
        <left style="thin">
          <color indexed="64"/>
        </left>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Aptos Narrow"/>
        <family val="2"/>
        <scheme val="minor"/>
      </font>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1" indent="0" justifyLastLine="0" shrinkToFit="0" readingOrder="0"/>
      <border diagonalUp="0" diagonalDown="0">
        <left/>
        <right/>
        <top style="thin">
          <color indexed="64"/>
        </top>
        <bottom/>
        <vertical/>
        <horizontal/>
      </border>
    </dxf>
    <dxf>
      <alignment horizontal="left" vertical="top" textRotation="0" wrapText="0" indent="0" justifyLastLine="0" shrinkToFit="0" readingOrder="0"/>
      <border diagonalUp="0" diagonalDown="0">
        <left/>
        <right/>
        <top style="thin">
          <color indexed="64"/>
        </top>
        <bottom style="thin">
          <color indexed="64"/>
        </bottom>
        <vertical/>
        <horizontal/>
      </border>
    </dxf>
    <dxf>
      <border outline="0">
        <left style="thin">
          <color indexed="64"/>
        </left>
      </border>
    </dxf>
    <dxf>
      <font>
        <b/>
        <i val="0"/>
        <strike val="0"/>
        <condense val="0"/>
        <extend val="0"/>
        <outline val="0"/>
        <shadow val="0"/>
        <u val="none"/>
        <vertAlign val="baseline"/>
        <sz val="11"/>
        <color theme="1"/>
        <name val="Aptos Narrow"/>
        <family val="2"/>
        <scheme val="minor"/>
      </font>
      <fill>
        <patternFill patternType="solid">
          <fgColor indexed="64"/>
          <bgColor theme="3" tint="0.499984740745262"/>
        </patternFill>
      </fill>
      <alignment horizontal="general" vertical="top" textRotation="0" wrapText="1" indent="0" justifyLastLine="0" shrinkToFit="0" readingOrder="0"/>
      <border diagonalUp="0" diagonalDown="0">
        <left style="thin">
          <color indexed="64"/>
        </left>
        <right style="thin">
          <color indexed="64"/>
        </right>
        <top/>
        <bottom/>
      </border>
    </dxf>
    <dxf>
      <alignment horizontal="left" vertical="top" textRotation="0" wrapText="1" indent="0" justifyLastLine="0" shrinkToFit="0" readingOrder="0"/>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Aptos Narrow"/>
        <family val="2"/>
        <scheme val="minor"/>
      </font>
      <fill>
        <patternFill patternType="solid">
          <fgColor indexed="64"/>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vertical/>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1" indent="0" justifyLastLine="0" shrinkToFit="0" readingOrder="0"/>
      <border diagonalUp="0" diagonalDown="0">
        <left style="thin">
          <color indexed="64"/>
        </left>
        <right style="thin">
          <color indexed="64"/>
        </right>
        <top/>
        <bottom/>
        <vertical/>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Aptos Narrow"/>
        <family val="2"/>
        <scheme val="minor"/>
      </font>
      <alignment horizontal="left" vertical="top" textRotation="0" wrapText="0" indent="0" justifyLastLine="0" shrinkToFit="0" readingOrder="0"/>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top"/>
    </dxf>
    <dxf>
      <numFmt numFmtId="0" formatCode="General"/>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right/>
        <top style="thin">
          <color indexed="64"/>
        </top>
        <bottom/>
        <vertical/>
        <horizontal/>
      </border>
    </dxf>
    <dxf>
      <alignment horizontal="left" vertical="top" textRotation="0" wrapText="0" indent="0" justifyLastLine="0" shrinkToFit="0" readingOrder="0"/>
      <border diagonalUp="0" diagonalDown="0">
        <left/>
        <right/>
        <top style="thin">
          <color indexed="64"/>
        </top>
        <bottom style="thin">
          <color indexed="64"/>
        </bottom>
      </border>
    </dxf>
    <dxf>
      <border outline="0">
        <left style="thin">
          <color indexed="64"/>
        </left>
        <bottom style="thin">
          <color indexed="64"/>
        </bottom>
      </border>
    </dxf>
    <dxf>
      <alignment horizontal="left" vertical="top" textRotation="0" wrapText="1" indent="0" justifyLastLine="0" shrinkToFit="0" readingOrder="0"/>
    </dxf>
    <dxf>
      <alignment horizontal="left" vertical="top"/>
    </dxf>
  </dxfs>
  <tableStyles count="0" defaultTableStyle="TableStyleMedium2" defaultPivotStyle="PivotStyleLight16"/>
  <colors>
    <mruColors>
      <color rgb="FFFF5050"/>
      <color rgb="FFDDDDDD"/>
      <color rgb="FFCCCCFF"/>
      <color rgb="FFFFFF99"/>
      <color rgb="FFCCFF99"/>
      <color rgb="FFFF9999"/>
      <color rgb="FFFFFAC2"/>
      <color rgb="FFCC6600"/>
      <color rgb="FFD17708"/>
      <color rgb="FFFF89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 Id="rId14"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'Summary View'!$B$22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6B1-4FFA-AC9E-A4CC87371DA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6B1-4FFA-AC9E-A4CC87371DA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6B1-4FFA-AC9E-A4CC87371DA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6B1-4FFA-AC9E-A4CC87371DA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6B1-4FFA-AC9E-A4CC87371DA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6B1-4FFA-AC9E-A4CC87371DA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9A9-4E38-A280-B02A717665C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9A9-4E38-A280-B02A717665C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19A9-4E38-A280-B02A717665C2}"/>
              </c:ext>
            </c:extLst>
          </c:dPt>
          <c:cat>
            <c:strRef>
              <c:f>'Summary View'!$A$23:$A$31</c:f>
              <c:strCache>
                <c:ptCount val="9"/>
                <c:pt idx="0">
                  <c:v>USA</c:v>
                </c:pt>
                <c:pt idx="1">
                  <c:v>India</c:v>
                </c:pt>
                <c:pt idx="2">
                  <c:v>UK</c:v>
                </c:pt>
                <c:pt idx="3">
                  <c:v>Singapore</c:v>
                </c:pt>
                <c:pt idx="4">
                  <c:v>Brazil</c:v>
                </c:pt>
                <c:pt idx="5">
                  <c:v>Americas (Other)</c:v>
                </c:pt>
                <c:pt idx="6">
                  <c:v>Europe </c:v>
                </c:pt>
                <c:pt idx="7">
                  <c:v>Asia (Other)</c:v>
                </c:pt>
                <c:pt idx="8">
                  <c:v>Other</c:v>
                </c:pt>
              </c:strCache>
            </c:strRef>
          </c:cat>
          <c:val>
            <c:numRef>
              <c:f>'Summary View'!$B$23:$B$31</c:f>
              <c:numCache>
                <c:formatCode>General</c:formatCode>
                <c:ptCount val="9"/>
                <c:pt idx="0">
                  <c:v>2</c:v>
                </c:pt>
                <c:pt idx="1">
                  <c:v>1</c:v>
                </c:pt>
                <c:pt idx="2">
                  <c:v>1</c:v>
                </c:pt>
                <c:pt idx="3">
                  <c:v>0</c:v>
                </c:pt>
                <c:pt idx="4">
                  <c:v>0</c:v>
                </c:pt>
                <c:pt idx="5">
                  <c:v>0</c:v>
                </c:pt>
                <c:pt idx="6">
                  <c:v>1</c:v>
                </c:pt>
                <c:pt idx="7">
                  <c:v>0</c:v>
                </c:pt>
                <c:pt idx="8">
                  <c:v>0</c:v>
                </c:pt>
              </c:numCache>
            </c:numRef>
          </c:val>
          <c:extLst>
            <c:ext xmlns:c16="http://schemas.microsoft.com/office/drawing/2014/chart" uri="{C3380CC4-5D6E-409C-BE32-E72D297353CC}">
              <c16:uniqueId val="{00000000-F773-4616-B175-D0E477A4C924}"/>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14283355377149123"/>
          <c:y val="0.8295442615127655"/>
          <c:w val="0.71724884783102905"/>
          <c:h val="0.170455738487234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'Summary View'!$B$33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CB2-4F8E-9287-9738117CA50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CB2-4F8E-9287-9738117CA50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CB2-4F8E-9287-9738117CA50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CB2-4F8E-9287-9738117CA50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CB2-4F8E-9287-9738117CA506}"/>
              </c:ext>
            </c:extLst>
          </c:dPt>
          <c:cat>
            <c:strRef>
              <c:f>'Summary View'!$A$34:$A$38</c:f>
              <c:strCache>
                <c:ptCount val="5"/>
                <c:pt idx="0">
                  <c:v>UHNWI</c:v>
                </c:pt>
                <c:pt idx="1">
                  <c:v>Investor</c:v>
                </c:pt>
                <c:pt idx="2">
                  <c:v>Digital Technologies Talent</c:v>
                </c:pt>
                <c:pt idx="3">
                  <c:v>Life Sciences Talent</c:v>
                </c:pt>
                <c:pt idx="4">
                  <c:v>Clean Energies Talent</c:v>
                </c:pt>
              </c:strCache>
            </c:strRef>
          </c:cat>
          <c:val>
            <c:numRef>
              <c:f>'Summary View'!$B$34:$B$38</c:f>
              <c:numCache>
                <c:formatCode>General</c:formatCode>
                <c:ptCount val="5"/>
                <c:pt idx="0">
                  <c:v>1</c:v>
                </c:pt>
                <c:pt idx="1">
                  <c:v>0</c:v>
                </c:pt>
                <c:pt idx="2">
                  <c:v>2</c:v>
                </c:pt>
                <c:pt idx="3">
                  <c:v>1</c:v>
                </c:pt>
                <c:pt idx="4">
                  <c:v>1</c:v>
                </c:pt>
              </c:numCache>
            </c:numRef>
          </c:val>
          <c:extLst>
            <c:ext xmlns:c16="http://schemas.microsoft.com/office/drawing/2014/chart" uri="{C3380CC4-5D6E-409C-BE32-E72D297353CC}">
              <c16:uniqueId val="{00000000-6DF8-41F5-8986-D0AFE2E3850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ocumenttasks/documenttask1.xml><?xml version="1.0" encoding="utf-8"?>
<Tasks xmlns="http://schemas.microsoft.com/office/tasks/2019/documenttasks">
  <Task id="{45129603-5A87-41F4-9942-BF4BC982F9E3}">
    <Anchor>
      <Comment id="{1B3BE8FE-3003-41AA-AB7E-394DB6ACDBCF}"/>
    </Anchor>
    <History>
      <Event time="2025-08-28T14:08:19.01" id="{8ED90513-C00F-4CB5-BD85-6925E20657FD}">
        <Attribution userId="S::katie.okelly@officeforinvestment.gov.uk::3cb3c1ce-be10-430d-b254-80d98d88461d" userName="Katie O'KELLY (OFI)" userProvider="AD"/>
        <Anchor>
          <Comment id="{1B3BE8FE-3003-41AA-AB7E-394DB6ACDBCF}"/>
        </Anchor>
        <Create/>
      </Event>
      <Event time="2025-08-28T14:08:19.01" id="{2535AEB9-8ED9-47AF-A0C6-DCC0A5B25B6D}">
        <Attribution userId="S::katie.okelly@officeforinvestment.gov.uk::3cb3c1ce-be10-430d-b254-80d98d88461d" userName="Katie O'KELLY (OFI)" userProvider="AD"/>
        <Anchor>
          <Comment id="{1B3BE8FE-3003-41AA-AB7E-394DB6ACDBCF}"/>
        </Anchor>
        <Assign userId="S::Alex.Parker2@businessandtrade.gov.uk::56714c34-a02c-4380-a75b-78e59302c0b8" userName="Alex PARKER2 (DBT)" userProvider="AD"/>
      </Event>
      <Event time="2025-08-28T14:08:19.01" id="{E98A8644-B971-4810-A192-940A3C64620E}">
        <Attribution userId="S::katie.okelly@officeforinvestment.gov.uk::3cb3c1ce-be10-430d-b254-80d98d88461d" userName="Katie O'KELLY (OFI)" userProvider="AD"/>
        <Anchor>
          <Comment id="{1B3BE8FE-3003-41AA-AB7E-394DB6ACDBCF}"/>
        </Anchor>
        <SetTitle title="@Alex PARKER2 (DBT) @Janki RANAVAYA (DBT) I have amended this sheet to reflect the feedback you sent over. (Sorry it took a while, got distracted by our many power points!) Let me know if this seems fit for purpose from your perspective"/>
      </Event>
    </History>
  </Task>
</Tasks>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590550</xdr:colOff>
      <xdr:row>18</xdr:row>
      <xdr:rowOff>9525</xdr:rowOff>
    </xdr:from>
    <xdr:to>
      <xdr:col>10</xdr:col>
      <xdr:colOff>304800</xdr:colOff>
      <xdr:row>31</xdr:row>
      <xdr:rowOff>0</xdr:rowOff>
    </xdr:to>
    <xdr:graphicFrame macro="">
      <xdr:nvGraphicFramePr>
        <xdr:cNvPr id="2" name="Chart 1">
          <a:extLst>
            <a:ext uri="{FF2B5EF4-FFF2-40B4-BE49-F238E27FC236}">
              <a16:creationId xmlns:a16="http://schemas.microsoft.com/office/drawing/2014/main" id="{30FC37A6-D6BB-1781-96D3-573696FFC2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561975</xdr:colOff>
      <xdr:row>32</xdr:row>
      <xdr:rowOff>57150</xdr:rowOff>
    </xdr:from>
    <xdr:to>
      <xdr:col>10</xdr:col>
      <xdr:colOff>542925</xdr:colOff>
      <xdr:row>41</xdr:row>
      <xdr:rowOff>142875</xdr:rowOff>
    </xdr:to>
    <xdr:graphicFrame macro="">
      <xdr:nvGraphicFramePr>
        <xdr:cNvPr id="3" name="Chart 2">
          <a:extLst>
            <a:ext uri="{FF2B5EF4-FFF2-40B4-BE49-F238E27FC236}">
              <a16:creationId xmlns:a16="http://schemas.microsoft.com/office/drawing/2014/main" id="{8CF618CD-1095-727D-F992-F7CFD26F9B5B}"/>
            </a:ext>
            <a:ext uri="{147F2762-F138-4A5C-976F-8EAC2B608ADB}">
              <a16:predDERef xmlns:a16="http://schemas.microsoft.com/office/drawing/2014/main" pred="{30FC37A6-D6BB-1781-96D3-573696FFC2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Alex PARKER2 (DBT)" id="{19A32A09-5438-4BEA-8384-1B178453CBC5}" userId="Alex.Parker2@businessandtrade.gov.uk" providerId="PeoplePicker"/>
  <person displayName="Janki RANAVAYA (DBT)" id="{B6717C55-9CE7-4360-AB9F-DDF589855BBC}" userId="Janki.Ranavaya@businessandtrade.gov.uk" providerId="PeoplePicker"/>
  <person displayName="Henry LANGDON (OFI)" id="{D51EB56E-4AD7-4316-9369-5A8631C85E43}" userId="henry.langdon@officeforinvestment.gov.uk" providerId="PeoplePicker"/>
  <person displayName="Katie O'KELLY (OFI)" id="{86A450AA-AB18-4B0C-B670-1EF03E8E9F85}" userId="S::katie.okelly@officeforinvestment.gov.uk::3cb3c1ce-be10-430d-b254-80d98d88461d" providerId="AD"/>
  <person displayName="Mary Kunnenkeril" id="{7A82234D-6CF0-4746-9729-FFB4E7946693}" userId="S::mkunnenkeril_no10.gov.uk#ext#@dbis.onmicrosoft.com::d62d3cbc-334f-4aea-ac65-e758f37ddd4a"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402E8FA-D92B-47D5-A6EB-7E449D66433B}" name="GTT_Leads" displayName="GTT_Leads" ref="A3:U8" totalsRowShown="0" headerRowDxfId="70" dataDxfId="69" tableBorderDxfId="68">
  <autoFilter ref="A3:U8" xr:uid="{9402E8FA-D92B-47D5-A6EB-7E449D66433B}"/>
  <sortState xmlns:xlrd2="http://schemas.microsoft.com/office/spreadsheetml/2017/richdata2" ref="A4:U10">
    <sortCondition ref="E3:E10"/>
  </sortState>
  <tableColumns count="21">
    <tableColumn id="1" xr3:uid="{3E9134FC-9618-40D5-88E2-648EFD9D04BA}" name="Name_x000a_Link to AP if applicable" dataDxfId="67"/>
    <tableColumn id="13" xr3:uid="{E83B9926-46B3-43A0-9E99-1D0DF07EE692}" name="Organisation" dataDxfId="66"/>
    <tableColumn id="23" xr3:uid="{21E42696-F9F7-415F-849B-04B8CDE627DE}" name="Role" dataDxfId="65"/>
    <tableColumn id="28" xr3:uid="{87CABBA2-C1AA-47DF-90D9-68E56B9BFA99}" name="Next Step" dataDxfId="64"/>
    <tableColumn id="24" xr3:uid="{67A33393-F976-4786-AFEB-646A25A39489}" name="Priority" dataDxfId="63">
      <calculatedColumnFormula array="1">_xlfn.LET(
  _xlpm.stage, GTT_Leads[[#This Row],[Stage]],
  _xlpm.s, GTT_Leads[[#This Row],[Success RAG]],
  _xlpm.r, GTT_Leads[[#This Row],[Relationship RAG]],
  _xlfn.IFS(
    _xlpm.stage="Account Managed", 1,
    AND(_xlpm.stage="Cleared", _xlpm.s="Green", _xlpm.r="Green"), 2,
    AND(_xlpm.stage="Cleared", _xlpm.s="Green", _xlpm.r="Amber"), 3,
    AND(_xlpm.stage="Cleared", _xlpm.s="Amber", _xlpm.r="Green"), 4,
    AND(_xlpm.stage="Cleared", _xlpm.s="Green", _xlpm.r="Red"), 5,
    AND(_xlpm.stage="Cleared", _xlpm.s="Amber", _xlpm.r="Amber"), 6,
    AND(_xlpm.stage="Cleared", _xlpm.s="Amber", _xlpm.r="Red"), 7,
    AND(_xlpm.stage="Cleared", _xlpm.s="Red", _xlpm.r="Red"), 8,
    TRUE, ""
  )
)</calculatedColumnFormula>
    </tableColumn>
    <tableColumn id="26" xr3:uid="{CEA82154-D490-4457-8F0D-1B7A62C0950A}" name="Stage" dataDxfId="62"/>
    <tableColumn id="2" xr3:uid="{E977A883-873E-4FA1-88BF-402B1ABD12BE}" name="Success RAG" dataDxfId="61"/>
    <tableColumn id="3" xr3:uid="{53D1E393-2657-4BE0-BAF7-24485AF7BE65}" name="Full AM/ Light-touch" dataDxfId="60"/>
    <tableColumn id="33" xr3:uid="{4BA12839-3994-42F5-A2E8-83CB3C3FD5D4}" name="Relationship RAG" dataDxfId="59"/>
    <tableColumn id="7" xr3:uid="{CE8EDF29-D225-4FEE-A7FD-DEB872D31395}" name="Background Check" dataDxfId="58"/>
    <tableColumn id="9" xr3:uid="{C61C02B4-8461-44D6-9DF8-1F95923C6C81}" name="Relationship Holder" dataDxfId="57"/>
    <tableColumn id="8" xr3:uid="{54A8A7F5-3FF4-487E-8B26-3ABA480C9021}" name="GTT Account Manager" dataDxfId="56"/>
    <tableColumn id="20" xr3:uid="{4198A9AF-FCBA-4BD4-A2BB-B51F8E6981CC}" name="Source of lead" dataDxfId="55"/>
    <tableColumn id="12" xr3:uid="{E84E096C-8717-4869-BE01-8DC4D26298E8}" name="Origin Date" dataDxfId="54"/>
    <tableColumn id="11" xr3:uid="{04038FE1-03E7-4A05-809D-F2561992EAF4}" name="Link to Data Hub (Where Applicable)" dataDxfId="53"/>
    <tableColumn id="4" xr3:uid="{57EA2DC5-01AA-4442-B9CF-5EAE49D4C839}" name="Current Residency" dataDxfId="52"/>
    <tableColumn id="22" xr3:uid="{045F00C0-7A82-4CBC-B374-669B41D09610}" name="Further Background" dataDxfId="51"/>
    <tableColumn id="5" xr3:uid="{C9A6BB93-BC48-42FD-98ED-815C53CC576B}" name="Nationality" dataDxfId="50"/>
    <tableColumn id="6" xr3:uid="{02A274EF-D0A4-4C79-92F8-A2D3DEE97919}" name="Criteria" dataDxfId="49"/>
    <tableColumn id="17" xr3:uid="{3781D63D-EF07-4F8D-9680-721649340184}" name="GTT Priority Sector" dataDxfId="48"/>
    <tableColumn id="10" xr3:uid="{8C0B0F39-37C0-4683-B0C3-88E5A097E7F2}" name="Type of Individual" dataDxfId="47"/>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FDB2C38-8EA7-4EBB-91A1-48AA73880765}" name="Table3" displayName="Table3" ref="A3:O4" totalsRowShown="0" headerRowDxfId="46" tableBorderDxfId="45">
  <autoFilter ref="A3:O4" xr:uid="{1FDB2C38-8EA7-4EBB-91A1-48AA73880765}"/>
  <sortState xmlns:xlrd2="http://schemas.microsoft.com/office/spreadsheetml/2017/richdata2" ref="A4:O4">
    <sortCondition ref="D3:D4"/>
  </sortState>
  <tableColumns count="15">
    <tableColumn id="1" xr3:uid="{9A1F2A2B-EBBF-4DC3-B73B-28557CA83220}" name="Name _x000a_And link to account plan for further info" dataDxfId="44"/>
    <tableColumn id="13" xr3:uid="{369A5D49-C16E-442E-9094-CD532C65AF05}" name="Organisation" dataDxfId="43"/>
    <tableColumn id="2" xr3:uid="{899B6128-661B-47A8-8ACD-CC478DE51853}" name="Role" dataDxfId="42"/>
    <tableColumn id="10" xr3:uid="{128EB17D-F8E7-4760-80A5-E22359BCB041}" name="Date Closed"/>
    <tableColumn id="9" xr3:uid="{721586B2-9C8A-4943-B612-B2585B69A21C}" name="Account Manager"/>
    <tableColumn id="3" xr3:uid="{3855D7CB-549E-46B7-B33E-D86E4A691CF5}" name="Catergory of Issue Raised_x000a_Visas, Tax, Capital Markets, Banking, Research Incentives, Regulation" dataDxfId="41"/>
    <tableColumn id="15" xr3:uid="{F80EAA54-1FED-4B3B-A7A7-4A0FE81767EB}" name="Light Touch/ Full Support" dataDxfId="40"/>
    <tableColumn id="4" xr3:uid="{D7C3E34E-5BBE-4D3C-86B2-A907429F57F3}" name="Details_x000a_Details of the issue faced by the individual and which areas of HMG it may relate to" dataDxfId="39"/>
    <tableColumn id="5" xr3:uid="{B4183F51-6144-4B6D-BF7C-CA77287ED945}" name="Solution offered_x000a_What solutions were provided by the GTT AM function and what OGDs (if any) did you have to work with and how?" dataDxfId="38"/>
    <tableColumn id="6" xr3:uid="{127816A0-EFC4-4C07-8E56-AFFD5057F47C}" name="Was issue resolved?_x000a_[Y/N/Partially] – if N/partially, provide details" dataDxfId="37"/>
    <tableColumn id="7" xr3:uid="{001ABFF5-E002-43DD-8BAE-3C670B92A286}" name="Overall Outcome_x000a_Current status of individual. Did they relocate to the UK or increase their presence here? " dataDxfId="36"/>
    <tableColumn id="11" xr3:uid="{BAECFCEF-F7CF-4D59-8A14-DF55BBC01716}" name="Meets success criteria?"/>
    <tableColumn id="12" xr3:uid="{2329AC59-D0E4-4A19-BA84-4FFA72EDAC6B}" name="Success Category" dataDxfId="35"/>
    <tableColumn id="8" xr3:uid="{A83BCC4B-9624-4A1B-A753-490D085083CB}" name="Key Escalations_x000a_Any key issues demonstrated by this case that we may want to escalate either internally or whith OGDs." dataDxfId="34"/>
    <tableColumn id="14" xr3:uid="{7152EF89-6408-4AF6-92DA-F5028A68A533}" name="GTT Promotion" dataDxfId="3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B8CAF4E-34E8-4C09-9EFD-4A75FD7E5C96}" name="Table4" displayName="Table4" ref="A1:C3" totalsRowShown="0" headerRowDxfId="32" tableBorderDxfId="31">
  <autoFilter ref="A1:C3" xr:uid="{FB8CAF4E-34E8-4C09-9EFD-4A75FD7E5C96}"/>
  <tableColumns count="3">
    <tableColumn id="1" xr3:uid="{06622811-0887-4971-A2C6-114D491E002C}" name="Name" dataDxfId="30" dataCellStyle="Hyperlink"/>
    <tableColumn id="2" xr3:uid="{5BDF4CB7-B4BF-4132-8986-4D3F3D1B8034}" name="Conmpany" dataDxfId="29"/>
    <tableColumn id="3" xr3:uid="{DB53B244-B55B-4717-9110-831CC707E61F}" name="Reason for Failure" dataDxfId="28"/>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90F6693-F728-4C52-A40C-7DF9B183910B}" name="Table5" displayName="Table5" ref="A9:J12" totalsRowShown="0" headerRowDxfId="27" headerRowBorderDxfId="26" tableBorderDxfId="25" totalsRowBorderDxfId="24">
  <autoFilter ref="A9:J12" xr:uid="{590F6693-F728-4C52-A40C-7DF9B183910B}"/>
  <tableColumns count="10">
    <tableColumn id="1" xr3:uid="{593EC98A-960D-471D-98A7-0E2ECACAE584}" name="Name" dataDxfId="23"/>
    <tableColumn id="2" xr3:uid="{43EDC385-91A7-4C59-9096-B8A50CED01A8}" name="Organisation" dataDxfId="22"/>
    <tableColumn id="3" xr3:uid="{333B8FAD-6FF5-40B1-BE1C-7EA8073372C8}" name="Title" dataDxfId="21"/>
    <tableColumn id="7" xr3:uid="{9F4EB70D-E289-494B-B75A-ACA43A8418A3}" name="Stage" dataDxfId="20"/>
    <tableColumn id="4" xr3:uid="{67BA418F-E038-4E3C-A46D-BA608ED16463}" name="Sector" dataDxfId="19"/>
    <tableColumn id="5" xr3:uid="{7AF69CE5-ACB3-49F8-81FE-876D02A1989D}" name="Customers" dataDxfId="18"/>
    <tableColumn id="10" xr3:uid="{E5664C0C-7717-4F91-956C-770F0F692557}" name="Based" dataDxfId="17"/>
    <tableColumn id="6" xr3:uid="{D4774760-E771-48BD-BE26-04C62396D991}" name="Origin" dataDxfId="16"/>
    <tableColumn id="8" xr3:uid="{7F5F4F55-E714-41A3-9B52-319A736B5A7B}" name="Background check" dataDxfId="15"/>
    <tableColumn id="9" xr3:uid="{78000C11-D623-46D8-987D-076BACFE57AF}" name="Notes" dataDxfId="14"/>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17" dT="2026-03-11T10:49:58.74" personId="{86A450AA-AB18-4B0C-B670-1EF03E8E9F85}" id="{759BEFD9-894A-4CA0-A468-15A42B1A74EC}">
    <text xml:space="preserve">@Henry LANGDON (OFI) do you think we should start separating out when they've come from Talent Ambassadors? </text>
    <mentions>
      <mention mentionpersonId="{D51EB56E-4AD7-4316-9369-5A8631C85E43}" mentionId="{CBA1EFB8-1818-4FD8-834E-4A686622A7A4}" startIndex="0" length="20"/>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C3" dT="2026-03-11T19:07:10.10" personId="{7A82234D-6CF0-4746-9729-FFB4E7946693}" id="{DE8078FE-84FC-4202-9A46-9D502AE2F7DF}">
    <text>Can we please split out company and role</text>
  </threadedComment>
  <threadedComment ref="E3" dT="2026-02-16T14:35:16.19" personId="{86A450AA-AB18-4B0C-B670-1EF03E8E9F85}" id="{414E2D80-2D0F-467E-B5A6-C529879A0682}">
    <text>1= Account Managed
2= Cleared, Green Success, Green Relationship
3= Cleared, Green Success, Amber Relationship
4= Cleared, Amber Success, Green Relationship
5= Cleared, Green Success, Red Relationship
6= Cleared, Amber Success, Amber Relationship
7= Cleared, Amber Success, Red Relationship
8= Cleared, Red Success, Red Relationship</text>
  </threadedComment>
  <threadedComment ref="G3" dT="2026-02-11T14:22:37.24" personId="{86A450AA-AB18-4B0C-B670-1EF03E8E9F85}" id="{6A4FC64E-C466-47FB-A2D7-52A30415AD9E}">
    <text>How likely is this individual to increase their UK presence?
GREEN = We already know they intend to
AMBER = We believe they could be persuaded 
RED = Unlikely/Unknown</text>
  </threadedComment>
  <threadedComment ref="I3" dT="2026-02-11T14:38:14.34" personId="{86A450AA-AB18-4B0C-B670-1EF03E8E9F85}" id="{58EC36AA-278D-4E3C-8428-DFA34269DD11}">
    <text>How well are they known by UK Gov?
GREEN = GTT knows them
AMBER = Existing relationship with other HMG team
RED = Cold contact</text>
  </threadedComment>
</ThreadedComments>
</file>

<file path=xl/threadedComments/threadedComment3.xml><?xml version="1.0" encoding="utf-8"?>
<ThreadedComments xmlns="http://schemas.microsoft.com/office/spreadsheetml/2018/threadedcomments" xmlns:x="http://schemas.openxmlformats.org/spreadsheetml/2006/main">
  <threadedComment ref="A1" dT="2025-08-28T14:08:19.10" personId="{86A450AA-AB18-4B0C-B670-1EF03E8E9F85}" id="{1B3BE8FE-3003-41AA-AB7E-394DB6ACDBCF}">
    <text xml:space="preserve">@Alex PARKER2 (DBT) @Janki RANAVAYA (DBT) I have amended this sheet to reflect the feedback you sent over. (Sorry it took a while, got distracted by our many power points!) Let me know if this seems fit for purpose from your perspective </text>
    <mentions>
      <mention mentionpersonId="{19A32A09-5438-4BEA-8384-1B178453CBC5}" mentionId="{55693C02-B011-46F7-B337-9D5EAED43190}" startIndex="0" length="19"/>
      <mention mentionpersonId="{B6717C55-9CE7-4360-AB9F-DDF589855BBC}" mentionId="{EC786ABC-291B-46EC-BEE0-87D81976B320}" startIndex="20" length="21"/>
    </mentions>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2.xml"/><Relationship Id="rId1" Type="http://schemas.openxmlformats.org/officeDocument/2006/relationships/vmlDrawing" Target="../drawings/vmlDrawing3.vml"/><Relationship Id="rId5" Type="http://schemas.microsoft.com/office/2019/04/relationships/documenttask" Target="../documenttasks/documenttask1.xml"/><Relationship Id="rId4" Type="http://schemas.microsoft.com/office/2017/10/relationships/threadedComment" Target="../threadedComments/threadedComment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89FD6-7602-4DF5-832B-87145C809A21}">
  <dimension ref="A1:J54"/>
  <sheetViews>
    <sheetView zoomScale="101" zoomScaleNormal="130" workbookViewId="0">
      <selection activeCell="B2" sqref="B2"/>
    </sheetView>
  </sheetViews>
  <sheetFormatPr baseColWidth="10" defaultColWidth="8.83203125" defaultRowHeight="15" x14ac:dyDescent="0.2"/>
  <cols>
    <col min="1" max="1" width="26.6640625" bestFit="1" customWidth="1"/>
    <col min="2" max="2" width="7.33203125" bestFit="1" customWidth="1"/>
    <col min="3" max="3" width="6.83203125" bestFit="1" customWidth="1"/>
    <col min="4" max="4" width="8.5" customWidth="1"/>
    <col min="10" max="10" width="10.1640625" bestFit="1" customWidth="1"/>
  </cols>
  <sheetData>
    <row r="1" spans="1:10" x14ac:dyDescent="0.2">
      <c r="A1" s="52" t="s">
        <v>3</v>
      </c>
      <c r="B1" s="53" t="s">
        <v>4</v>
      </c>
      <c r="C1" s="53" t="s">
        <v>5</v>
      </c>
    </row>
    <row r="2" spans="1:10" x14ac:dyDescent="0.2">
      <c r="A2" s="68" t="s">
        <v>6</v>
      </c>
      <c r="B2" s="11">
        <f>SUM(B3+B4+B6)</f>
        <v>5</v>
      </c>
      <c r="C2" s="93"/>
    </row>
    <row r="3" spans="1:10" x14ac:dyDescent="0.2">
      <c r="A3" s="69" t="s">
        <v>7</v>
      </c>
      <c r="B3" s="70">
        <f>COUNTIF(GTT_Leads[Stage], "Account Managed")</f>
        <v>1</v>
      </c>
      <c r="C3" s="94">
        <f>B3/B2</f>
        <v>0.2</v>
      </c>
    </row>
    <row r="4" spans="1:10" x14ac:dyDescent="0.2">
      <c r="A4" s="71" t="s">
        <v>8</v>
      </c>
      <c r="B4" s="72" cm="1">
        <f t="array" ref="B4">SUM(COUNTIF(GTT_Leads[Priority], {2,3,4,5,6,7}))</f>
        <v>3</v>
      </c>
      <c r="C4" s="95">
        <f>B4/B2</f>
        <v>0.6</v>
      </c>
      <c r="I4" s="50"/>
      <c r="J4" s="11"/>
    </row>
    <row r="5" spans="1:10" x14ac:dyDescent="0.2">
      <c r="A5" s="71" t="s">
        <v>9</v>
      </c>
      <c r="B5" s="72">
        <f>COUNTIF(GTT_Leads[Stage], "Pending")</f>
        <v>0</v>
      </c>
      <c r="C5" s="95">
        <f>B5/B2</f>
        <v>0</v>
      </c>
      <c r="I5" s="50"/>
      <c r="J5" s="11"/>
    </row>
    <row r="6" spans="1:10" x14ac:dyDescent="0.2">
      <c r="A6" s="73" t="s">
        <v>10</v>
      </c>
      <c r="B6" s="74">
        <f>COUNTIF(GTT_Leads[Stage], "Closed")</f>
        <v>1</v>
      </c>
      <c r="C6" s="96">
        <f>B6/B2</f>
        <v>0.2</v>
      </c>
      <c r="I6" s="50"/>
      <c r="J6" s="11"/>
    </row>
    <row r="7" spans="1:10" x14ac:dyDescent="0.2">
      <c r="I7" s="54"/>
      <c r="J7" s="90"/>
    </row>
    <row r="8" spans="1:10" ht="16" x14ac:dyDescent="0.2">
      <c r="A8" s="46" t="s">
        <v>11</v>
      </c>
      <c r="B8" s="43" t="s">
        <v>12</v>
      </c>
      <c r="C8" s="44" t="s">
        <v>13</v>
      </c>
      <c r="D8" s="45" t="s">
        <v>14</v>
      </c>
      <c r="I8" s="54"/>
      <c r="J8" s="90"/>
    </row>
    <row r="9" spans="1:10" x14ac:dyDescent="0.2">
      <c r="A9" s="47" t="s">
        <v>15</v>
      </c>
      <c r="B9" s="2">
        <f>COUNTIFS('GTT Leads'!G:G, "Green", 'GTT Leads'!E:E,"&gt;=1",'GTT Leads'!E:E,"&lt;=7")</f>
        <v>2</v>
      </c>
      <c r="C9" s="2">
        <f>COUNTIFS('GTT Leads'!G:G, "Amber", 'GTT Leads'!E:E,"&gt;=1",'GTT Leads'!E:E,"&lt;=7")</f>
        <v>2</v>
      </c>
      <c r="D9" s="41">
        <f>COUNTIFS('GTT Leads'!G:G, "Red", 'GTT Leads'!E:E,"&gt;=1",'GTT Leads'!E:E,"&lt;=7")</f>
        <v>0</v>
      </c>
      <c r="I9" s="54"/>
      <c r="J9" s="90"/>
    </row>
    <row r="10" spans="1:10" x14ac:dyDescent="0.2">
      <c r="A10" s="49" t="s">
        <v>16</v>
      </c>
      <c r="B10" s="42">
        <f>COUNTIFS('GTT Leads'!I:I, "Green", 'GTT Leads'!E:E,"&gt;=1",'GTT Leads'!E:E,"&lt;=7")</f>
        <v>2</v>
      </c>
      <c r="C10" s="42">
        <f>COUNTIFS('GTT Leads'!I:I, "Amber", 'GTT Leads'!E:E,"&gt;=1",'GTT Leads'!E:E,"&lt;=7")</f>
        <v>1</v>
      </c>
      <c r="D10" s="40">
        <f>COUNTIFS('GTT Leads'!H:H, "Red", 'GTT Leads'!D:D,"&gt;=1",'GTT Leads'!D:D,"&lt;=7")</f>
        <v>0</v>
      </c>
      <c r="I10" s="54"/>
      <c r="J10" s="90"/>
    </row>
    <row r="11" spans="1:10" x14ac:dyDescent="0.2">
      <c r="I11" s="54"/>
      <c r="J11" s="90"/>
    </row>
    <row r="12" spans="1:10" x14ac:dyDescent="0.2">
      <c r="A12" s="52" t="s">
        <v>17</v>
      </c>
      <c r="B12" s="53" t="s">
        <v>4</v>
      </c>
      <c r="C12" s="53" t="s">
        <v>5</v>
      </c>
      <c r="I12" s="51"/>
      <c r="J12" s="91"/>
    </row>
    <row r="13" spans="1:10" x14ac:dyDescent="0.2">
      <c r="A13" s="50" t="s">
        <v>18</v>
      </c>
      <c r="B13" s="11">
        <f>COUNTIFS(GTT_Leads[Source of lead], "Post - USA", GTT_Leads[Priority], "&gt;=1", GTT_Leads[Priority], "&lt;=8")</f>
        <v>0</v>
      </c>
      <c r="C13" s="93">
        <f>B13/B$2</f>
        <v>0</v>
      </c>
    </row>
    <row r="14" spans="1:10" x14ac:dyDescent="0.2">
      <c r="A14" s="50" t="s">
        <v>19</v>
      </c>
      <c r="B14" s="11">
        <f>COUNTIFS(GTT_Leads[Source of lead], "Post-Brazil", GTT_Leads[Priority], "&gt;=1", GTT_Leads[Priority], "&lt;=8")</f>
        <v>0</v>
      </c>
      <c r="C14" s="93">
        <f>B14/B2</f>
        <v>0</v>
      </c>
    </row>
    <row r="15" spans="1:10" x14ac:dyDescent="0.2">
      <c r="A15" s="50" t="s">
        <v>20</v>
      </c>
      <c r="B15" s="11">
        <f>COUNTIFS(GTT_Leads[Source of lead], "Number 10", GTT_Leads[Priority], "&gt;=1", GTT_Leads[Priority], "&lt;=8")</f>
        <v>1</v>
      </c>
      <c r="C15" s="93">
        <f t="shared" ref="C15" si="0">B15/B$2</f>
        <v>0.2</v>
      </c>
    </row>
    <row r="16" spans="1:10" x14ac:dyDescent="0.2">
      <c r="A16" s="50" t="s">
        <v>21</v>
      </c>
      <c r="B16" s="11">
        <f>COUNTIFS(GTT_Leads[Source of lead], "OGD", GTT_Leads[Priority], "&gt;=1", GTT_Leads[Priority], "&lt;=8")</f>
        <v>1</v>
      </c>
      <c r="C16" s="93">
        <f t="shared" ref="C16" si="1">B16/B4</f>
        <v>0.33333333333333331</v>
      </c>
    </row>
    <row r="17" spans="1:3" x14ac:dyDescent="0.2">
      <c r="A17" s="50" t="s">
        <v>22</v>
      </c>
      <c r="B17" s="11">
        <f>COUNTIFS(GTT_Leads[Source of lead], "External", GTT_Leads[Priority], "&gt;=1", GTT_Leads[Priority], "&lt;=7")</f>
        <v>1</v>
      </c>
      <c r="C17" s="93">
        <f t="shared" ref="C17" si="2">B17/B$2</f>
        <v>0.2</v>
      </c>
    </row>
    <row r="18" spans="1:3" x14ac:dyDescent="0.2">
      <c r="A18" s="50" t="s">
        <v>23</v>
      </c>
      <c r="B18" s="11">
        <f>COUNTIFS(GTT_Leads[Source of lead], "DBT/OfI", GTT_Leads[Priority], "&gt;=1", GTT_Leads[Priority], "&lt;=8")</f>
        <v>1</v>
      </c>
      <c r="C18" s="93">
        <f>B18/B2</f>
        <v>0.2</v>
      </c>
    </row>
    <row r="19" spans="1:3" x14ac:dyDescent="0.2">
      <c r="A19" s="50" t="s">
        <v>24</v>
      </c>
      <c r="B19" s="11">
        <f>COUNTIFS(GTT_Leads[Source of lead], "Post-India", GTT_Leads[Priority], "&gt;=1", GTT_Leads[Priority], "&lt;=8")</f>
        <v>0</v>
      </c>
      <c r="C19" s="93">
        <f t="shared" ref="C19" si="3">B19/B$2</f>
        <v>0</v>
      </c>
    </row>
    <row r="20" spans="1:3" x14ac:dyDescent="0.2">
      <c r="A20" s="51" t="s">
        <v>25</v>
      </c>
      <c r="B20" s="12">
        <f>COUNTIFS(GTT_Leads[Source of lead], "Post-Singapore", GTT_Leads[Priority], "&gt;=1", GTT_Leads[Priority], "&lt;=8")</f>
        <v>0</v>
      </c>
      <c r="C20" s="97">
        <f>B20/B2</f>
        <v>0</v>
      </c>
    </row>
    <row r="22" spans="1:3" x14ac:dyDescent="0.2">
      <c r="A22" s="52" t="s">
        <v>26</v>
      </c>
      <c r="B22" s="53" t="s">
        <v>4</v>
      </c>
      <c r="C22" s="53" t="s">
        <v>5</v>
      </c>
    </row>
    <row r="23" spans="1:3" x14ac:dyDescent="0.2">
      <c r="A23" s="50" t="s">
        <v>27</v>
      </c>
      <c r="B23" s="11">
        <f>COUNTIFS(GTT_Leads[Current Residency], "*USA*", GTT_Leads[Priority],"&gt;=1",GTT_Leads[Priority],"&lt;=8")</f>
        <v>2</v>
      </c>
      <c r="C23" s="93">
        <f>B23/B$2</f>
        <v>0.4</v>
      </c>
    </row>
    <row r="24" spans="1:3" x14ac:dyDescent="0.2">
      <c r="A24" s="50" t="s">
        <v>28</v>
      </c>
      <c r="B24" s="11">
        <f>COUNTIFS(GTT_Leads[Current Residency], "*India*", GTT_Leads[Priority],"&gt;=1",GTT_Leads[Priority],"&lt;=8")</f>
        <v>1</v>
      </c>
      <c r="C24" s="93">
        <f t="shared" ref="C24:C31" si="4">B24/B$2</f>
        <v>0.2</v>
      </c>
    </row>
    <row r="25" spans="1:3" x14ac:dyDescent="0.2">
      <c r="A25" s="50" t="s">
        <v>1</v>
      </c>
      <c r="B25" s="11">
        <f>COUNTIFS(GTT_Leads[Current Residency], "*UK*", GTT_Leads[Priority],"&gt;=1",GTT_Leads[Priority],"&lt;=8")</f>
        <v>1</v>
      </c>
      <c r="C25" s="93">
        <f t="shared" si="4"/>
        <v>0.2</v>
      </c>
    </row>
    <row r="26" spans="1:3" x14ac:dyDescent="0.2">
      <c r="A26" s="54" t="s">
        <v>29</v>
      </c>
      <c r="B26" s="90">
        <f>COUNTIFS(GTT_Leads[Current Residency], "*Singapore*", GTT_Leads[Priority],"&gt;=1",GTT_Leads[Priority],"&lt;=8")</f>
        <v>0</v>
      </c>
      <c r="C26" s="98">
        <f t="shared" si="4"/>
        <v>0</v>
      </c>
    </row>
    <row r="27" spans="1:3" x14ac:dyDescent="0.2">
      <c r="A27" s="54" t="s">
        <v>30</v>
      </c>
      <c r="B27" s="90">
        <f>COUNTIFS(GTT_Leads[Current Residency], "*Brazil*", GTT_Leads[Priority],"&gt;=1",GTT_Leads[Priority],"&lt;=8")</f>
        <v>0</v>
      </c>
      <c r="C27" s="98">
        <f t="shared" si="4"/>
        <v>0</v>
      </c>
    </row>
    <row r="28" spans="1:3" x14ac:dyDescent="0.2">
      <c r="A28" s="50" t="s">
        <v>31</v>
      </c>
      <c r="B28" s="90">
        <f>COUNTIFS(GTT_Leads[Current Residency], "*Canada*", GTT_Leads[Priority],"&gt;=1",GTT_Leads[Priority],"&lt;=8")</f>
        <v>0</v>
      </c>
      <c r="C28" s="93">
        <f t="shared" si="4"/>
        <v>0</v>
      </c>
    </row>
    <row r="29" spans="1:3" x14ac:dyDescent="0.2">
      <c r="A29" s="54" t="s">
        <v>32</v>
      </c>
      <c r="B29" s="90" cm="1">
        <f t="array" ref="B29">SUM(COUNTIFS(GTT_Leads[Current Residency],{"*Finland*","*Denmark*","*France*","*Germany*","*Netherlands*"},GTT_Leads[Priority],"&gt;=1",GTT_Leads[Priority],"&lt;=8"))</f>
        <v>1</v>
      </c>
      <c r="C29" s="98">
        <f t="shared" si="4"/>
        <v>0.2</v>
      </c>
    </row>
    <row r="30" spans="1:3" x14ac:dyDescent="0.2">
      <c r="A30" s="54" t="s">
        <v>33</v>
      </c>
      <c r="B30" s="90" cm="1">
        <f t="array" ref="B30">SUM(COUNTIFS(GTT_Leads[Current Residency],{"*Australia*","*Taiwan*"},GTT_Leads[Priority],"&gt;=1",GTT_Leads[Priority],"&lt;=8"))</f>
        <v>0</v>
      </c>
      <c r="C30" s="98">
        <f t="shared" si="4"/>
        <v>0</v>
      </c>
    </row>
    <row r="31" spans="1:3" x14ac:dyDescent="0.2">
      <c r="A31" s="51" t="s">
        <v>34</v>
      </c>
      <c r="B31" s="91">
        <f>B2-SUM(B23:B30)</f>
        <v>0</v>
      </c>
      <c r="C31" s="99">
        <f t="shared" si="4"/>
        <v>0</v>
      </c>
    </row>
    <row r="33" spans="1:3" x14ac:dyDescent="0.2">
      <c r="A33" s="59" t="s">
        <v>35</v>
      </c>
      <c r="B33" s="60" t="s">
        <v>4</v>
      </c>
      <c r="C33" s="60" t="s">
        <v>5</v>
      </c>
    </row>
    <row r="34" spans="1:3" x14ac:dyDescent="0.2">
      <c r="A34" s="48" t="s">
        <v>36</v>
      </c>
      <c r="B34" s="39">
        <f>COUNTIFS(GTT_Leads[Criteria], "*HNWI*",GTT_Leads[Priority],"&gt;=1",GTT_Leads[Priority],"&lt;=8")</f>
        <v>1</v>
      </c>
      <c r="C34" s="100">
        <f>B34/B$2</f>
        <v>0.2</v>
      </c>
    </row>
    <row r="35" spans="1:3" x14ac:dyDescent="0.2">
      <c r="A35" s="48" t="s">
        <v>37</v>
      </c>
      <c r="B35" s="39">
        <f>COUNTIFS(GTT_Leads[Criteria], "*Investor*",GTT_Leads[Priority],"&gt;=1",GTT_Leads[Priority],"&lt;=8")</f>
        <v>0</v>
      </c>
      <c r="C35" s="100">
        <f t="shared" ref="C35:C38" si="5">B35/B$2</f>
        <v>0</v>
      </c>
    </row>
    <row r="36" spans="1:3" x14ac:dyDescent="0.2">
      <c r="A36" s="48" t="s">
        <v>38</v>
      </c>
      <c r="B36" s="39">
        <f>COUNTIFS(GTT_Leads[Criteria], "*Digital*",GTT_Leads[Priority],"&gt;=1",GTT_Leads[Priority],"&lt;=8")</f>
        <v>2</v>
      </c>
      <c r="C36" s="100">
        <f t="shared" si="5"/>
        <v>0.4</v>
      </c>
    </row>
    <row r="37" spans="1:3" x14ac:dyDescent="0.2">
      <c r="A37" s="75" t="s">
        <v>39</v>
      </c>
      <c r="B37" s="39">
        <f>COUNTIFS(GTT_Leads[Criteria], "*Life*",GTT_Leads[Priority],"&gt;=1",GTT_Leads[Priority],"&lt;=8")</f>
        <v>1</v>
      </c>
      <c r="C37" s="100">
        <f t="shared" si="5"/>
        <v>0.2</v>
      </c>
    </row>
    <row r="38" spans="1:3" x14ac:dyDescent="0.2">
      <c r="A38" s="48" t="s">
        <v>40</v>
      </c>
      <c r="B38" s="39">
        <f>COUNTIFS(GTT_Leads[Criteria], "*Clean*",GTT_Leads[Priority],"&gt;=1",GTT_Leads[Priority],"&lt;=8")</f>
        <v>1</v>
      </c>
      <c r="C38" s="100">
        <f t="shared" si="5"/>
        <v>0.2</v>
      </c>
    </row>
    <row r="39" spans="1:3" ht="16" thickBot="1" x14ac:dyDescent="0.25"/>
    <row r="40" spans="1:3" x14ac:dyDescent="0.2">
      <c r="A40" s="52" t="s">
        <v>41</v>
      </c>
      <c r="B40" s="105" t="s">
        <v>4</v>
      </c>
      <c r="C40" s="53" t="s">
        <v>5</v>
      </c>
    </row>
    <row r="41" spans="1:3" x14ac:dyDescent="0.2">
      <c r="A41" s="50" t="s">
        <v>42</v>
      </c>
      <c r="B41" s="9">
        <f>COUNTIFS(GTT_Leads[GTT Priority Sector], "*Life Sciences*",GTT_Leads[Priority],"&gt;=1",GTT_Leads[Priority],"&lt;=8")</f>
        <v>1</v>
      </c>
      <c r="C41" s="93">
        <f>B41/B$2</f>
        <v>0.2</v>
      </c>
    </row>
    <row r="42" spans="1:3" x14ac:dyDescent="0.2">
      <c r="A42" s="50" t="s">
        <v>43</v>
      </c>
      <c r="B42" s="9">
        <f>COUNTIFS(GTT_Leads[GTT Priority Sector], "*clean*",GTT_Leads[Priority],"&gt;=1",GTT_Leads[Priority],"&lt;=8")</f>
        <v>1</v>
      </c>
      <c r="C42" s="93">
        <f t="shared" ref="C42:C43" si="6">B42/B$2</f>
        <v>0.2</v>
      </c>
    </row>
    <row r="43" spans="1:3" x14ac:dyDescent="0.2">
      <c r="A43" s="50" t="s">
        <v>44</v>
      </c>
      <c r="B43" s="9">
        <f>COUNTIFS(GTT_Leads[GTT Priority Sector], "*tech*",GTT_Leads[Priority],"&gt;=1",GTT_Leads[Priority],"&lt;=8")</f>
        <v>0</v>
      </c>
      <c r="C43" s="93">
        <f t="shared" si="6"/>
        <v>0</v>
      </c>
    </row>
    <row r="44" spans="1:3" x14ac:dyDescent="0.2">
      <c r="A44" s="50" t="s">
        <v>2</v>
      </c>
      <c r="B44" s="9">
        <f>COUNTIFS(GTT_Leads[GTT Priority Sector], "*AI*",GTT_Leads[Priority],"&gt;=1",GTT_Leads[Priority],"&lt;=8")</f>
        <v>2</v>
      </c>
      <c r="C44" s="93">
        <f>B44/B$2</f>
        <v>0.4</v>
      </c>
    </row>
    <row r="45" spans="1:3" x14ac:dyDescent="0.2">
      <c r="A45" s="50" t="s">
        <v>45</v>
      </c>
      <c r="B45" s="9">
        <f>COUNTIFS(GTT_Leads[GTT Priority Sector], "*investor*",GTT_Leads[Priority],"&gt;=1",GTT_Leads[Priority],"&lt;=8")</f>
        <v>1</v>
      </c>
      <c r="C45" s="93">
        <f>B45/B$2</f>
        <v>0.2</v>
      </c>
    </row>
    <row r="46" spans="1:3" ht="16" thickBot="1" x14ac:dyDescent="0.25">
      <c r="A46" s="51" t="s">
        <v>34</v>
      </c>
      <c r="B46" s="106">
        <f>COUNTIFS(GTT_Leads[GTT Priority Sector], "*other*",GTT_Leads[Priority],"&gt;=1",GTT_Leads[Priority],"&lt;=8")</f>
        <v>0</v>
      </c>
      <c r="C46" s="97">
        <f>B46/B$2</f>
        <v>0</v>
      </c>
    </row>
    <row r="47" spans="1:3" ht="16" thickBot="1" x14ac:dyDescent="0.25"/>
    <row r="48" spans="1:3" x14ac:dyDescent="0.2">
      <c r="A48" s="86" t="s">
        <v>46</v>
      </c>
      <c r="B48" s="87" t="s">
        <v>4</v>
      </c>
      <c r="C48" s="87" t="s">
        <v>5</v>
      </c>
    </row>
    <row r="49" spans="1:3" x14ac:dyDescent="0.2">
      <c r="A49" s="71" t="s">
        <v>47</v>
      </c>
      <c r="B49" s="72">
        <f>COUNTIFS(GTT_Leads[Type of Individual],"Founder",GTT_Leads[Priority],"&gt;=1",GTT_Leads[Priority],"&lt;=8")</f>
        <v>1</v>
      </c>
      <c r="C49" s="95">
        <f t="shared" ref="C49:C54" si="7">B49/B$2</f>
        <v>0.2</v>
      </c>
    </row>
    <row r="50" spans="1:3" x14ac:dyDescent="0.2">
      <c r="A50" s="88" t="s">
        <v>37</v>
      </c>
      <c r="B50" s="72">
        <f>COUNTIFS(GTT_Leads[Type of Individual],"Investor",GTT_Leads[Priority],"&gt;=1",GTT_Leads[Priority],"&lt;=8")</f>
        <v>1</v>
      </c>
      <c r="C50" s="95">
        <f t="shared" si="7"/>
        <v>0.2</v>
      </c>
    </row>
    <row r="51" spans="1:3" x14ac:dyDescent="0.2">
      <c r="A51" s="71" t="s">
        <v>48</v>
      </c>
      <c r="B51" s="72">
        <f>COUNTIFS(GTT_Leads[Type of Individual],"Highly Talented",GTT_Leads[Priority],"&gt;=1",GTT_Leads[Priority],"&lt;=8")</f>
        <v>0</v>
      </c>
      <c r="C51" s="95">
        <f t="shared" si="7"/>
        <v>0</v>
      </c>
    </row>
    <row r="52" spans="1:3" x14ac:dyDescent="0.2">
      <c r="A52" s="89" t="s">
        <v>49</v>
      </c>
      <c r="B52" s="72">
        <f>COUNTIFS(GTT_Leads[Type of Individual],"*HNWI*",GTT_Leads[Priority],"&gt;=1",GTT_Leads[Priority],"&lt;=8")</f>
        <v>1</v>
      </c>
      <c r="C52" s="95">
        <f t="shared" si="7"/>
        <v>0.2</v>
      </c>
    </row>
    <row r="53" spans="1:3" x14ac:dyDescent="0.2">
      <c r="A53" s="89" t="s">
        <v>50</v>
      </c>
      <c r="B53" s="72">
        <f>COUNTIFS(GTT_Leads[Type of Individual],"C-Suite",GTT_Leads[Priority],"&gt;=1",GTT_Leads[Priority],"&lt;=8")</f>
        <v>1</v>
      </c>
      <c r="C53" s="101">
        <f t="shared" si="7"/>
        <v>0.2</v>
      </c>
    </row>
    <row r="54" spans="1:3" x14ac:dyDescent="0.2">
      <c r="A54" s="1" t="s">
        <v>51</v>
      </c>
      <c r="B54" s="72">
        <f>COUNTIFS(GTT_Leads[Type of Individual],"Researcher",GTT_Leads[Priority],"&gt;=1",GTT_Leads[Priority],"&lt;=8")</f>
        <v>1</v>
      </c>
      <c r="C54" s="102">
        <f t="shared" si="7"/>
        <v>0.2</v>
      </c>
    </row>
  </sheetData>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90FF9-3F4E-4763-915C-25E6224A8927}">
  <sheetPr>
    <pageSetUpPr fitToPage="1"/>
  </sheetPr>
  <dimension ref="A1:X284"/>
  <sheetViews>
    <sheetView tabSelected="1" zoomScale="61" zoomScaleNormal="85" zoomScaleSheetLayoutView="85" workbookViewId="0">
      <pane xSplit="1" ySplit="2" topLeftCell="B3" activePane="bottomRight" state="frozen"/>
      <selection pane="topRight" activeCell="B1" sqref="B1"/>
      <selection pane="bottomLeft" activeCell="A3" sqref="A3"/>
      <selection pane="bottomRight" activeCell="D5" sqref="D5"/>
    </sheetView>
  </sheetViews>
  <sheetFormatPr baseColWidth="10" defaultColWidth="8.83203125" defaultRowHeight="19.5" customHeight="1" x14ac:dyDescent="0.2"/>
  <cols>
    <col min="1" max="1" width="24.1640625" style="27" bestFit="1" customWidth="1"/>
    <col min="2" max="2" width="27.5" style="33" customWidth="1"/>
    <col min="3" max="3" width="24.83203125" style="27" customWidth="1"/>
    <col min="4" max="4" width="38.5" style="27" customWidth="1"/>
    <col min="5" max="5" width="10.6640625" style="27" bestFit="1" customWidth="1"/>
    <col min="6" max="7" width="15.5" style="27" bestFit="1" customWidth="1"/>
    <col min="8" max="8" width="16.6640625" style="27" bestFit="1" customWidth="1"/>
    <col min="9" max="9" width="19.1640625" style="27" bestFit="1" customWidth="1"/>
    <col min="10" max="10" width="14.5" style="27" bestFit="1" customWidth="1"/>
    <col min="11" max="11" width="23.33203125" style="27" customWidth="1"/>
    <col min="12" max="12" width="15" style="27" bestFit="1" customWidth="1"/>
    <col min="13" max="13" width="16.6640625" style="27" bestFit="1" customWidth="1"/>
    <col min="14" max="14" width="14" style="27" bestFit="1" customWidth="1"/>
    <col min="15" max="15" width="24.6640625" style="27" bestFit="1" customWidth="1"/>
    <col min="16" max="16" width="20.33203125" style="27" bestFit="1" customWidth="1"/>
    <col min="17" max="17" width="45.33203125" style="27" customWidth="1"/>
    <col min="18" max="18" width="17.5" style="27" bestFit="1" customWidth="1"/>
    <col min="19" max="19" width="11.5" style="27" bestFit="1" customWidth="1"/>
    <col min="20" max="20" width="20" style="27" bestFit="1" customWidth="1"/>
    <col min="21" max="21" width="13.1640625" style="27" bestFit="1" customWidth="1"/>
    <col min="22" max="22" width="8.83203125" style="27"/>
    <col min="23" max="23" width="27.5" style="27" bestFit="1" customWidth="1"/>
    <col min="24" max="16384" width="8.83203125" style="27"/>
  </cols>
  <sheetData>
    <row r="1" spans="1:24" s="38" customFormat="1" ht="19.5" customHeight="1" x14ac:dyDescent="0.2">
      <c r="A1" s="116" t="s">
        <v>52</v>
      </c>
      <c r="B1" s="116"/>
      <c r="C1" s="116"/>
      <c r="D1" s="116"/>
      <c r="E1" s="114" t="s">
        <v>3</v>
      </c>
      <c r="F1" s="114"/>
      <c r="G1" s="114"/>
      <c r="H1" s="114"/>
      <c r="I1" s="114"/>
      <c r="J1" s="114"/>
      <c r="K1" s="111" t="s">
        <v>53</v>
      </c>
      <c r="L1" s="112"/>
      <c r="M1" s="112"/>
      <c r="N1" s="109" t="s">
        <v>54</v>
      </c>
      <c r="O1" s="109"/>
      <c r="P1" s="109"/>
      <c r="Q1" s="109"/>
      <c r="R1" s="109"/>
      <c r="S1" s="109"/>
      <c r="T1" s="109"/>
      <c r="U1" s="109"/>
    </row>
    <row r="2" spans="1:24" ht="19.5" customHeight="1" x14ac:dyDescent="0.2">
      <c r="A2" s="117"/>
      <c r="B2" s="117"/>
      <c r="C2" s="117"/>
      <c r="D2" s="117"/>
      <c r="E2" s="115"/>
      <c r="F2" s="115"/>
      <c r="G2" s="115"/>
      <c r="H2" s="115"/>
      <c r="I2" s="115"/>
      <c r="J2" s="115"/>
      <c r="K2" s="113"/>
      <c r="L2" s="113"/>
      <c r="M2" s="113"/>
      <c r="N2" s="110"/>
      <c r="O2" s="110"/>
      <c r="P2" s="110"/>
      <c r="Q2" s="110"/>
      <c r="R2" s="110"/>
      <c r="S2" s="110"/>
      <c r="T2" s="110"/>
      <c r="U2" s="110"/>
    </row>
    <row r="3" spans="1:24" ht="32" x14ac:dyDescent="0.2">
      <c r="A3" s="14" t="s">
        <v>55</v>
      </c>
      <c r="B3" s="76" t="s">
        <v>56</v>
      </c>
      <c r="C3" s="76" t="s">
        <v>57</v>
      </c>
      <c r="D3" s="15" t="s">
        <v>58</v>
      </c>
      <c r="E3" s="16" t="s">
        <v>59</v>
      </c>
      <c r="F3" s="17" t="s">
        <v>3</v>
      </c>
      <c r="G3" s="16" t="s">
        <v>60</v>
      </c>
      <c r="H3" s="18" t="s">
        <v>61</v>
      </c>
      <c r="I3" s="18" t="s">
        <v>62</v>
      </c>
      <c r="J3" s="18" t="s">
        <v>63</v>
      </c>
      <c r="K3" s="19" t="s">
        <v>64</v>
      </c>
      <c r="L3" s="19" t="s">
        <v>65</v>
      </c>
      <c r="M3" s="20" t="s">
        <v>66</v>
      </c>
      <c r="N3" s="21" t="s">
        <v>67</v>
      </c>
      <c r="O3" s="21" t="s">
        <v>68</v>
      </c>
      <c r="P3" s="22" t="s">
        <v>0</v>
      </c>
      <c r="Q3" s="23" t="s">
        <v>69</v>
      </c>
      <c r="R3" s="24" t="s">
        <v>70</v>
      </c>
      <c r="S3" s="24" t="s">
        <v>35</v>
      </c>
      <c r="T3" s="23" t="s">
        <v>71</v>
      </c>
      <c r="U3" s="23" t="s">
        <v>46</v>
      </c>
    </row>
    <row r="4" spans="1:24" ht="32" x14ac:dyDescent="0.2">
      <c r="A4" s="31" t="s">
        <v>72</v>
      </c>
      <c r="B4" s="10" t="s">
        <v>73</v>
      </c>
      <c r="C4" s="10" t="s">
        <v>74</v>
      </c>
      <c r="D4" s="10" t="s">
        <v>75</v>
      </c>
      <c r="E4" s="10" cm="1">
        <f t="array" ref="E4">_xlfn.LET(_xlpm.stage,GTT_Leads[[#This Row],[Stage]],_xlpm.s,GTT_Leads[[#This Row],[Success RAG]],_xlpm.r,GTT_Leads[[#This Row],[Relationship RAG]],_xlfn.IFS(_xlpm.stage="Account Managed",1,AND(_xlpm.stage="Cleared",_xlpm.s="Green",_xlpm.r="Green"),2,AND(_xlpm.stage="Cleared",_xlpm.s="Green",_xlpm.r="Amber"),3,AND(_xlpm.stage="Cleared",_xlpm.s="Amber",_xlpm.r="Green"),4,AND(_xlpm.stage="Cleared",_xlpm.s="Green",_xlpm.r="Red"),5,AND(_xlpm.stage="Cleared",_xlpm.s="Amber",_xlpm.r="Amber"),6,AND(_xlpm.stage="Cleared",_xlpm.s="Amber",_xlpm.r="Red"),7,_xlpm.stage="Closed",8,AND(_xlpm.stage="Cleared",_xlpm.s="Red",_xlpm.r="Red"),9,TRUE,""))</f>
        <v>1</v>
      </c>
      <c r="F4" s="31" t="s">
        <v>76</v>
      </c>
      <c r="G4" s="28" t="s">
        <v>77</v>
      </c>
      <c r="H4" s="29" t="s">
        <v>78</v>
      </c>
      <c r="I4" s="29" t="s">
        <v>77</v>
      </c>
      <c r="J4" s="27" t="s">
        <v>79</v>
      </c>
      <c r="K4" s="25" t="s">
        <v>80</v>
      </c>
      <c r="L4" s="10" t="s">
        <v>81</v>
      </c>
      <c r="M4" s="10" t="s">
        <v>21</v>
      </c>
      <c r="N4" s="26">
        <v>46181</v>
      </c>
      <c r="O4" s="27" t="s">
        <v>82</v>
      </c>
      <c r="P4" s="10" t="s">
        <v>83</v>
      </c>
      <c r="Q4" s="10" t="s">
        <v>84</v>
      </c>
      <c r="R4" s="10" t="s">
        <v>85</v>
      </c>
      <c r="S4" s="13" t="s">
        <v>43</v>
      </c>
      <c r="T4" s="10" t="s">
        <v>43</v>
      </c>
      <c r="U4" s="10" t="s">
        <v>50</v>
      </c>
      <c r="W4" s="33"/>
    </row>
    <row r="5" spans="1:24" ht="16" x14ac:dyDescent="0.2">
      <c r="A5" s="92" t="s">
        <v>86</v>
      </c>
      <c r="B5" s="92" t="s">
        <v>87</v>
      </c>
      <c r="C5" s="10" t="s">
        <v>37</v>
      </c>
      <c r="D5" s="10" t="s">
        <v>88</v>
      </c>
      <c r="E5" s="10" cm="1">
        <f t="array" ref="E5">_xlfn.LET(
  _xlpm.stage, GTT_Leads[[#This Row],[Stage]],
  _xlpm.s, GTT_Leads[[#This Row],[Success RAG]],
  _xlpm.r, GTT_Leads[[#This Row],[Relationship RAG]],
  _xlfn.IFS(
    _xlpm.stage="Account Managed", 1,
    AND(_xlpm.stage="Cleared", _xlpm.s="Green", _xlpm.r="Green"), 2,
    AND(_xlpm.stage="Cleared", _xlpm.s="Green", _xlpm.r="Amber"), 3,
    AND(_xlpm.stage="Cleared", _xlpm.s="Amber", _xlpm.r="Green"), 4,
    AND(_xlpm.stage="Cleared", _xlpm.s="Green", _xlpm.r="Red"), 5,
    AND(_xlpm.stage="Cleared", _xlpm.s="Amber", _xlpm.r="Amber"), 6,
    AND(_xlpm.stage="Cleared", _xlpm.s="Amber", _xlpm.r="Red"), 7,
    AND(_xlpm.stage="Cleared", _xlpm.s="Red", _xlpm.r="Red"), 8,
    TRUE, ""
  )
)</f>
        <v>2</v>
      </c>
      <c r="F5" s="31" t="s">
        <v>89</v>
      </c>
      <c r="G5" s="31" t="s">
        <v>77</v>
      </c>
      <c r="H5" s="31" t="s">
        <v>90</v>
      </c>
      <c r="I5" s="29" t="s">
        <v>77</v>
      </c>
      <c r="J5" s="27" t="s">
        <v>79</v>
      </c>
      <c r="K5" s="10" t="s">
        <v>91</v>
      </c>
      <c r="L5" s="10" t="s">
        <v>92</v>
      </c>
      <c r="M5" s="35" t="s">
        <v>20</v>
      </c>
      <c r="N5" s="30">
        <v>46151</v>
      </c>
      <c r="O5" s="27" t="s">
        <v>82</v>
      </c>
      <c r="P5" s="10" t="s">
        <v>28</v>
      </c>
      <c r="Q5" s="10" t="s">
        <v>93</v>
      </c>
      <c r="R5" s="10" t="s">
        <v>94</v>
      </c>
      <c r="S5" s="13" t="s">
        <v>42</v>
      </c>
      <c r="T5" s="10" t="s">
        <v>42</v>
      </c>
      <c r="U5" s="10" t="s">
        <v>37</v>
      </c>
      <c r="W5" s="33"/>
    </row>
    <row r="6" spans="1:24" ht="32" x14ac:dyDescent="0.2">
      <c r="A6" s="31" t="s">
        <v>95</v>
      </c>
      <c r="B6" s="10" t="s">
        <v>96</v>
      </c>
      <c r="C6" s="10" t="s">
        <v>97</v>
      </c>
      <c r="D6" s="10" t="s">
        <v>98</v>
      </c>
      <c r="E6" s="10" cm="1">
        <f t="array" ref="E6">_xlfn.LET(_xlpm.stage,GTT_Leads[[#This Row],[Stage]],_xlpm.s,GTT_Leads[[#This Row],[Success RAG]],_xlpm.r,GTT_Leads[[#This Row],[Relationship RAG]],_xlfn.IFS(_xlpm.stage="Account Managed",1,AND(_xlpm.stage="Cleared",_xlpm.s="Green",_xlpm.r="Green"),2,AND(_xlpm.stage="Cleared",_xlpm.s="Green",_xlpm.r="Amber"),3,AND(_xlpm.stage="Cleared",_xlpm.s="Amber",_xlpm.r="Green"),4,AND(_xlpm.stage="Cleared",_xlpm.s="Green",_xlpm.r="Red"),5,AND(_xlpm.stage="Cleared",_xlpm.s="Amber",_xlpm.r="Amber"),6,AND(_xlpm.stage="Cleared",_xlpm.s="Amber",_xlpm.r="Red"),7,_xlpm.stage="Closed",8,AND(_xlpm.stage="Cleared",_xlpm.s="Red",_xlpm.r="Red"),9,TRUE,""))</f>
        <v>6</v>
      </c>
      <c r="F6" s="31" t="s">
        <v>89</v>
      </c>
      <c r="G6" s="28" t="s">
        <v>99</v>
      </c>
      <c r="H6" s="29" t="s">
        <v>78</v>
      </c>
      <c r="I6" s="29" t="s">
        <v>99</v>
      </c>
      <c r="J6" s="27" t="s">
        <v>79</v>
      </c>
      <c r="K6" s="25" t="s">
        <v>100</v>
      </c>
      <c r="L6" s="10" t="s">
        <v>81</v>
      </c>
      <c r="M6" s="10" t="s">
        <v>23</v>
      </c>
      <c r="N6" s="26">
        <v>46189</v>
      </c>
      <c r="O6" s="27" t="s">
        <v>101</v>
      </c>
      <c r="P6" s="10" t="s">
        <v>1</v>
      </c>
      <c r="Q6" s="10" t="s">
        <v>102</v>
      </c>
      <c r="R6" s="10" t="s">
        <v>103</v>
      </c>
      <c r="S6" s="13" t="s">
        <v>36</v>
      </c>
      <c r="T6" s="10" t="s">
        <v>104</v>
      </c>
      <c r="U6" s="10" t="s">
        <v>49</v>
      </c>
      <c r="W6" s="33"/>
      <c r="X6" s="33"/>
    </row>
    <row r="7" spans="1:24" ht="48" x14ac:dyDescent="0.2">
      <c r="A7" s="31" t="s">
        <v>105</v>
      </c>
      <c r="B7" s="10" t="s">
        <v>106</v>
      </c>
      <c r="C7" s="10" t="s">
        <v>107</v>
      </c>
      <c r="D7" s="10" t="s">
        <v>108</v>
      </c>
      <c r="E7" s="10" cm="1">
        <f t="array" ref="E7">_xlfn.LET(_xlpm.stage,GTT_Leads[[#This Row],[Stage]],_xlpm.s,GTT_Leads[[#This Row],[Success RAG]],_xlpm.r,GTT_Leads[[#This Row],[Relationship RAG]],_xlfn.IFS(_xlpm.stage="Account Managed",1,AND(_xlpm.stage="Cleared",_xlpm.s="Green",_xlpm.r="Green"),2,AND(_xlpm.stage="Cleared",_xlpm.s="Green",_xlpm.r="Amber"),3,AND(_xlpm.stage="Cleared",_xlpm.s="Amber",_xlpm.r="Green"),4,AND(_xlpm.stage="Cleared",_xlpm.s="Green",_xlpm.r="Red"),5,AND(_xlpm.stage="Cleared",_xlpm.s="Amber",_xlpm.r="Amber"),6,AND(_xlpm.stage="Cleared",_xlpm.s="Amber",_xlpm.r="Red"),7,_xlpm.stage="Closed",8,AND(_xlpm.stage="Cleared",_xlpm.s="Red",_xlpm.r="Red"),9,TRUE,""))</f>
        <v>7</v>
      </c>
      <c r="F7" s="31" t="s">
        <v>89</v>
      </c>
      <c r="G7" s="28" t="s">
        <v>99</v>
      </c>
      <c r="H7" s="29" t="s">
        <v>78</v>
      </c>
      <c r="I7" s="103" t="s">
        <v>109</v>
      </c>
      <c r="J7" s="27" t="s">
        <v>79</v>
      </c>
      <c r="K7" s="83" t="s">
        <v>110</v>
      </c>
      <c r="L7" s="10" t="s">
        <v>81</v>
      </c>
      <c r="M7" s="10" t="s">
        <v>22</v>
      </c>
      <c r="N7" s="26">
        <v>46189</v>
      </c>
      <c r="O7" s="104" t="s">
        <v>82</v>
      </c>
      <c r="P7" s="10" t="s">
        <v>27</v>
      </c>
      <c r="Q7" s="10" t="s">
        <v>111</v>
      </c>
      <c r="R7" s="10" t="s">
        <v>103</v>
      </c>
      <c r="S7" s="13" t="s">
        <v>112</v>
      </c>
      <c r="T7" s="10" t="s">
        <v>2</v>
      </c>
      <c r="U7" s="10" t="s">
        <v>51</v>
      </c>
      <c r="W7" s="33"/>
      <c r="X7" s="33"/>
    </row>
    <row r="8" spans="1:24" ht="32" x14ac:dyDescent="0.2">
      <c r="A8" s="92" t="s">
        <v>113</v>
      </c>
      <c r="B8" s="108" t="s">
        <v>114</v>
      </c>
      <c r="C8" s="10" t="s">
        <v>115</v>
      </c>
      <c r="D8" s="37" t="s">
        <v>116</v>
      </c>
      <c r="E8" s="37" cm="1">
        <f t="array" ref="E8">_xlfn.LET(_xlpm.stage,GTT_Leads[[#This Row],[Stage]],_xlpm.s,GTT_Leads[[#This Row],[Success RAG]],_xlpm.r,GTT_Leads[[#This Row],[Relationship RAG]],_xlfn.IFS(_xlpm.stage="Account Managed",1,AND(_xlpm.stage="Cleared",_xlpm.s="Green",_xlpm.r="Green"),2,AND(_xlpm.stage="Cleared",_xlpm.s="Green",_xlpm.r="Amber"),3,AND(_xlpm.stage="Cleared",_xlpm.s="Amber",_xlpm.r="Green"),4,AND(_xlpm.stage="Cleared",_xlpm.s="Green",_xlpm.r="Red"),5,AND(_xlpm.stage="Cleared",_xlpm.s="Amber",_xlpm.r="Amber"),6,AND(_xlpm.stage="Cleared",_xlpm.s="Amber",_xlpm.r="Red"),7,_xlpm.stage="Closed",8,AND(_xlpm.stage="Cleared",_xlpm.s="Red",_xlpm.r="Red"),9,TRUE,""))</f>
        <v>8</v>
      </c>
      <c r="F8" s="31" t="s">
        <v>117</v>
      </c>
      <c r="G8" s="28" t="s">
        <v>77</v>
      </c>
      <c r="H8" s="29" t="s">
        <v>78</v>
      </c>
      <c r="I8" s="103" t="s">
        <v>77</v>
      </c>
      <c r="J8" s="67" t="s">
        <v>79</v>
      </c>
      <c r="K8" s="10" t="s">
        <v>110</v>
      </c>
      <c r="L8" s="10" t="s">
        <v>92</v>
      </c>
      <c r="M8" s="35" t="s">
        <v>18</v>
      </c>
      <c r="N8" s="26">
        <v>46184</v>
      </c>
      <c r="O8" s="67" t="s">
        <v>82</v>
      </c>
      <c r="P8" s="10" t="s">
        <v>27</v>
      </c>
      <c r="Q8" s="10" t="s">
        <v>118</v>
      </c>
      <c r="R8" s="10" t="s">
        <v>103</v>
      </c>
      <c r="S8" s="13" t="s">
        <v>112</v>
      </c>
      <c r="T8" s="10" t="s">
        <v>2</v>
      </c>
      <c r="U8" s="10" t="s">
        <v>47</v>
      </c>
    </row>
    <row r="9" spans="1:24" ht="19.5" customHeight="1" x14ac:dyDescent="0.2">
      <c r="A9" s="61"/>
      <c r="B9" s="61"/>
      <c r="C9" s="37"/>
      <c r="D9" s="37"/>
      <c r="E9" s="37"/>
      <c r="F9" s="67"/>
      <c r="G9" s="67"/>
      <c r="H9" s="67"/>
      <c r="I9" s="67"/>
      <c r="J9" s="67"/>
      <c r="K9" s="37"/>
      <c r="L9" s="37"/>
      <c r="M9" s="35"/>
      <c r="N9" s="107"/>
      <c r="O9" s="67"/>
      <c r="P9" s="37"/>
      <c r="Q9" s="37"/>
      <c r="R9" s="37"/>
      <c r="S9" s="56"/>
      <c r="T9" s="37"/>
      <c r="U9" s="37"/>
    </row>
    <row r="10" spans="1:24" ht="19.5" customHeight="1" x14ac:dyDescent="0.2">
      <c r="A10" s="92"/>
      <c r="B10" s="61"/>
      <c r="C10" s="10"/>
      <c r="D10" s="37"/>
      <c r="E10" s="37"/>
      <c r="F10" s="67"/>
      <c r="G10" s="31"/>
      <c r="H10" s="31"/>
      <c r="I10" s="67"/>
      <c r="J10" s="67"/>
      <c r="K10" s="10"/>
      <c r="L10" s="10"/>
      <c r="M10" s="35"/>
      <c r="N10" s="10"/>
      <c r="O10" s="67"/>
      <c r="P10" s="10"/>
      <c r="Q10" s="10"/>
      <c r="R10" s="10"/>
      <c r="S10" s="13"/>
      <c r="T10" s="10"/>
      <c r="U10" s="37"/>
    </row>
    <row r="11" spans="1:24" ht="19.5" customHeight="1" x14ac:dyDescent="0.2">
      <c r="A11" s="31"/>
      <c r="B11" s="10"/>
      <c r="C11" s="10"/>
      <c r="D11" s="10"/>
      <c r="E11" s="31"/>
      <c r="F11" s="82"/>
      <c r="G11" s="31"/>
      <c r="H11" s="82"/>
      <c r="I11" s="10"/>
      <c r="J11" s="10"/>
      <c r="K11" s="10"/>
      <c r="L11" s="10"/>
      <c r="M11" s="10"/>
      <c r="N11" s="82"/>
      <c r="O11" s="10"/>
      <c r="P11" s="10"/>
      <c r="Q11" s="10"/>
      <c r="R11" s="10"/>
      <c r="S11" s="31"/>
      <c r="T11" s="31"/>
      <c r="U11" s="31"/>
    </row>
    <row r="12" spans="1:24" ht="19.5" customHeight="1" x14ac:dyDescent="0.2">
      <c r="A12" s="31"/>
      <c r="B12" s="10"/>
      <c r="C12" s="10"/>
      <c r="D12" s="10"/>
      <c r="E12" s="31"/>
      <c r="F12" s="82"/>
      <c r="G12" s="31"/>
      <c r="H12" s="82"/>
      <c r="I12" s="10"/>
      <c r="J12" s="10"/>
      <c r="K12" s="10"/>
      <c r="L12" s="10"/>
      <c r="M12" s="10"/>
      <c r="N12" s="82"/>
      <c r="O12" s="10"/>
      <c r="P12" s="10"/>
      <c r="Q12" s="10"/>
      <c r="R12" s="10"/>
      <c r="S12" s="31"/>
      <c r="T12" s="31"/>
      <c r="U12" s="31"/>
    </row>
    <row r="13" spans="1:24" ht="19.5" customHeight="1" x14ac:dyDescent="0.2">
      <c r="A13" s="31"/>
      <c r="B13" s="10"/>
      <c r="C13" s="10"/>
      <c r="D13" s="10"/>
      <c r="E13" s="31"/>
      <c r="F13" s="82"/>
      <c r="G13" s="31"/>
      <c r="H13" s="82"/>
      <c r="I13" s="10"/>
      <c r="J13" s="10"/>
      <c r="K13" s="10"/>
      <c r="L13" s="10"/>
      <c r="M13" s="10"/>
      <c r="N13" s="82"/>
      <c r="O13" s="10"/>
      <c r="P13" s="10"/>
      <c r="Q13" s="10"/>
      <c r="R13" s="10"/>
      <c r="S13" s="31"/>
      <c r="T13" s="31"/>
      <c r="U13" s="31"/>
    </row>
    <row r="14" spans="1:24" ht="19.5" customHeight="1" x14ac:dyDescent="0.2">
      <c r="A14" s="31"/>
      <c r="B14" s="10"/>
      <c r="C14" s="10"/>
      <c r="D14" s="10"/>
      <c r="E14" s="31"/>
      <c r="F14" s="82"/>
      <c r="G14" s="31"/>
      <c r="H14" s="82"/>
      <c r="I14" s="10"/>
      <c r="J14" s="10"/>
      <c r="K14" s="10"/>
      <c r="L14" s="10"/>
      <c r="M14" s="10"/>
      <c r="N14" s="82"/>
      <c r="O14" s="10"/>
      <c r="P14" s="10"/>
      <c r="Q14" s="10"/>
      <c r="R14" s="10"/>
      <c r="S14" s="31"/>
      <c r="T14" s="31"/>
      <c r="U14" s="31"/>
    </row>
    <row r="15" spans="1:24" ht="19.5" customHeight="1" x14ac:dyDescent="0.2">
      <c r="A15" s="31"/>
      <c r="B15" s="10"/>
      <c r="C15" s="10"/>
      <c r="D15" s="10"/>
      <c r="E15" s="31"/>
      <c r="F15" s="82"/>
      <c r="G15" s="31"/>
      <c r="H15" s="82"/>
      <c r="I15" s="10"/>
      <c r="J15" s="10"/>
      <c r="K15" s="10"/>
      <c r="L15" s="10"/>
      <c r="M15" s="10"/>
      <c r="N15" s="82"/>
      <c r="O15" s="10"/>
      <c r="P15" s="10"/>
      <c r="Q15" s="10"/>
      <c r="R15" s="10"/>
      <c r="S15" s="31"/>
      <c r="T15" s="31"/>
      <c r="U15" s="31"/>
    </row>
    <row r="16" spans="1:24" ht="19.5" customHeight="1" x14ac:dyDescent="0.2">
      <c r="A16" s="31"/>
      <c r="B16" s="10"/>
      <c r="C16" s="10"/>
      <c r="D16" s="10"/>
      <c r="E16" s="31"/>
      <c r="F16" s="82"/>
      <c r="G16" s="31"/>
      <c r="H16" s="82"/>
      <c r="I16" s="10"/>
      <c r="J16" s="10"/>
      <c r="K16" s="10"/>
      <c r="L16" s="10"/>
      <c r="M16" s="10"/>
      <c r="N16" s="82"/>
      <c r="O16" s="10"/>
      <c r="P16" s="10"/>
      <c r="Q16" s="10"/>
      <c r="R16" s="10"/>
      <c r="S16" s="31"/>
      <c r="T16" s="31"/>
      <c r="U16" s="31"/>
    </row>
    <row r="17" spans="1:21" ht="19.5" customHeight="1" x14ac:dyDescent="0.2">
      <c r="A17" s="31"/>
      <c r="B17" s="10"/>
      <c r="C17" s="10"/>
      <c r="D17" s="10"/>
      <c r="E17" s="31"/>
      <c r="F17" s="82"/>
      <c r="G17" s="31"/>
      <c r="H17" s="82"/>
      <c r="I17" s="10"/>
      <c r="J17" s="10"/>
      <c r="K17" s="10"/>
      <c r="L17" s="10"/>
      <c r="M17" s="10"/>
      <c r="N17" s="82"/>
      <c r="O17" s="10"/>
      <c r="P17" s="10"/>
      <c r="Q17" s="10"/>
      <c r="R17" s="10"/>
      <c r="S17" s="31"/>
      <c r="T17" s="31"/>
      <c r="U17" s="31"/>
    </row>
    <row r="18" spans="1:21" ht="19.5" customHeight="1" x14ac:dyDescent="0.2">
      <c r="A18" s="31"/>
      <c r="B18" s="10"/>
      <c r="C18" s="10"/>
      <c r="D18" s="10"/>
      <c r="E18" s="31"/>
      <c r="F18" s="82"/>
      <c r="G18" s="31"/>
      <c r="H18" s="82"/>
      <c r="I18" s="10"/>
      <c r="J18" s="10"/>
      <c r="K18" s="10"/>
      <c r="L18" s="10"/>
      <c r="M18" s="10"/>
      <c r="N18" s="82"/>
      <c r="O18" s="10"/>
      <c r="P18" s="10"/>
      <c r="Q18" s="10"/>
      <c r="R18" s="10"/>
      <c r="S18" s="31"/>
      <c r="T18" s="31"/>
      <c r="U18" s="31"/>
    </row>
    <row r="19" spans="1:21" ht="19.5" customHeight="1" x14ac:dyDescent="0.2">
      <c r="A19" s="31"/>
      <c r="B19" s="10"/>
      <c r="C19" s="10"/>
      <c r="D19" s="10"/>
      <c r="E19" s="31"/>
      <c r="F19" s="82"/>
      <c r="G19" s="31"/>
      <c r="H19" s="82"/>
      <c r="I19" s="10"/>
      <c r="J19" s="10"/>
      <c r="K19" s="10"/>
      <c r="L19" s="10"/>
      <c r="M19" s="10"/>
      <c r="N19" s="82"/>
      <c r="O19" s="10"/>
      <c r="P19" s="10"/>
      <c r="Q19" s="10"/>
      <c r="R19" s="10"/>
      <c r="S19" s="31"/>
      <c r="T19" s="31"/>
      <c r="U19" s="31"/>
    </row>
    <row r="20" spans="1:21" ht="19.5" customHeight="1" x14ac:dyDescent="0.2">
      <c r="A20" s="31"/>
      <c r="B20" s="10"/>
      <c r="C20" s="10"/>
      <c r="D20" s="10"/>
      <c r="E20" s="31"/>
      <c r="F20" s="82"/>
      <c r="G20" s="31"/>
      <c r="H20" s="82"/>
      <c r="I20" s="10"/>
      <c r="J20" s="10"/>
      <c r="K20" s="10"/>
      <c r="L20" s="10"/>
      <c r="M20" s="10"/>
      <c r="N20" s="82"/>
      <c r="O20" s="10"/>
      <c r="P20" s="10"/>
      <c r="Q20" s="10"/>
      <c r="R20" s="10"/>
      <c r="S20" s="31"/>
      <c r="T20" s="31"/>
      <c r="U20" s="31"/>
    </row>
    <row r="21" spans="1:21" ht="19.5" customHeight="1" x14ac:dyDescent="0.2">
      <c r="A21" s="31"/>
      <c r="B21" s="10"/>
      <c r="C21" s="10"/>
      <c r="D21" s="10"/>
      <c r="E21" s="31"/>
      <c r="F21" s="82"/>
      <c r="G21" s="31"/>
      <c r="H21" s="82"/>
      <c r="I21" s="10"/>
      <c r="J21" s="10"/>
      <c r="K21" s="10"/>
      <c r="L21" s="10"/>
      <c r="M21" s="10"/>
      <c r="N21" s="82"/>
      <c r="O21" s="10"/>
      <c r="P21" s="10"/>
      <c r="Q21" s="10"/>
      <c r="R21" s="10"/>
      <c r="S21" s="31"/>
      <c r="T21" s="31"/>
      <c r="U21" s="31"/>
    </row>
    <row r="22" spans="1:21" ht="19.5" customHeight="1" x14ac:dyDescent="0.2">
      <c r="A22" s="31"/>
      <c r="B22" s="10"/>
      <c r="C22" s="10"/>
      <c r="D22" s="10"/>
      <c r="E22" s="31"/>
      <c r="F22" s="82"/>
      <c r="G22" s="31"/>
      <c r="H22" s="82"/>
      <c r="I22" s="10"/>
      <c r="J22" s="10"/>
      <c r="K22" s="10"/>
      <c r="L22" s="10"/>
      <c r="M22" s="10"/>
      <c r="N22" s="82"/>
      <c r="O22" s="10"/>
      <c r="P22" s="10"/>
      <c r="Q22" s="10"/>
      <c r="R22" s="10"/>
      <c r="S22" s="31"/>
      <c r="T22" s="31"/>
      <c r="U22" s="31"/>
    </row>
    <row r="23" spans="1:21" ht="19.5" customHeight="1" x14ac:dyDescent="0.2">
      <c r="A23" s="31"/>
      <c r="B23" s="10"/>
      <c r="C23" s="10"/>
      <c r="D23" s="10"/>
      <c r="E23" s="31"/>
      <c r="F23" s="82"/>
      <c r="G23" s="31"/>
      <c r="H23" s="82"/>
      <c r="I23" s="10"/>
      <c r="J23" s="10"/>
      <c r="K23" s="10"/>
      <c r="L23" s="10"/>
      <c r="M23" s="10"/>
      <c r="N23" s="82"/>
      <c r="O23" s="10"/>
      <c r="P23" s="10"/>
      <c r="Q23" s="10"/>
      <c r="R23" s="10"/>
      <c r="S23" s="31"/>
      <c r="T23" s="31"/>
      <c r="U23" s="31"/>
    </row>
    <row r="24" spans="1:21" ht="19.5" customHeight="1" x14ac:dyDescent="0.2">
      <c r="A24" s="31"/>
      <c r="B24" s="10"/>
      <c r="C24" s="10"/>
      <c r="D24" s="10"/>
      <c r="E24" s="31"/>
      <c r="F24" s="82"/>
      <c r="G24" s="31"/>
      <c r="H24" s="82"/>
      <c r="I24" s="10"/>
      <c r="J24" s="10"/>
      <c r="K24" s="10"/>
      <c r="L24" s="10"/>
      <c r="M24" s="10"/>
      <c r="N24" s="82"/>
      <c r="O24" s="10"/>
      <c r="P24" s="10"/>
      <c r="Q24" s="10"/>
      <c r="R24" s="10"/>
      <c r="S24" s="31"/>
      <c r="T24" s="31"/>
      <c r="U24" s="31"/>
    </row>
    <row r="25" spans="1:21" ht="19.5" customHeight="1" x14ac:dyDescent="0.2">
      <c r="A25" s="31"/>
      <c r="B25" s="10"/>
      <c r="C25" s="10"/>
      <c r="D25" s="10"/>
      <c r="E25" s="31"/>
      <c r="F25" s="82"/>
      <c r="G25" s="31"/>
      <c r="H25" s="82"/>
      <c r="I25" s="10"/>
      <c r="J25" s="10"/>
      <c r="K25" s="10"/>
      <c r="L25" s="10"/>
      <c r="M25" s="10"/>
      <c r="N25" s="82"/>
      <c r="O25" s="10"/>
      <c r="P25" s="10"/>
      <c r="Q25" s="10"/>
      <c r="R25" s="10"/>
      <c r="S25" s="31"/>
      <c r="T25" s="31"/>
      <c r="U25" s="31"/>
    </row>
    <row r="26" spans="1:21" ht="19.5" customHeight="1" x14ac:dyDescent="0.2">
      <c r="A26" s="31"/>
      <c r="B26" s="10"/>
      <c r="C26" s="10"/>
      <c r="D26" s="10"/>
      <c r="E26" s="31"/>
      <c r="F26" s="82"/>
      <c r="G26" s="31"/>
      <c r="H26" s="82"/>
      <c r="I26" s="10"/>
      <c r="J26" s="10"/>
      <c r="K26" s="10"/>
      <c r="L26" s="10"/>
      <c r="M26" s="10"/>
      <c r="N26" s="82"/>
      <c r="O26" s="10"/>
      <c r="P26" s="10"/>
      <c r="Q26" s="10"/>
      <c r="R26" s="10"/>
      <c r="S26" s="31"/>
      <c r="T26" s="31"/>
      <c r="U26" s="31"/>
    </row>
    <row r="27" spans="1:21" ht="19.5" customHeight="1" x14ac:dyDescent="0.2">
      <c r="A27" s="31"/>
      <c r="B27" s="10"/>
      <c r="C27" s="10"/>
      <c r="D27" s="10"/>
      <c r="E27" s="31"/>
      <c r="F27" s="82"/>
      <c r="G27" s="31"/>
      <c r="H27" s="82"/>
      <c r="I27" s="10"/>
      <c r="J27" s="10"/>
      <c r="K27" s="10"/>
      <c r="L27" s="10"/>
      <c r="M27" s="10"/>
      <c r="N27" s="82"/>
      <c r="O27" s="10"/>
      <c r="P27" s="10"/>
      <c r="Q27" s="10"/>
      <c r="R27" s="10"/>
      <c r="S27" s="31"/>
      <c r="T27" s="31"/>
      <c r="U27" s="31"/>
    </row>
    <row r="28" spans="1:21" ht="19.5" customHeight="1" x14ac:dyDescent="0.2">
      <c r="A28" s="31"/>
      <c r="B28" s="10"/>
      <c r="C28" s="10"/>
      <c r="D28" s="10"/>
      <c r="E28" s="31"/>
      <c r="F28" s="82"/>
      <c r="G28" s="31"/>
      <c r="H28" s="82"/>
      <c r="I28" s="10"/>
      <c r="J28" s="10"/>
      <c r="K28" s="10"/>
      <c r="L28" s="10"/>
      <c r="M28" s="10"/>
      <c r="N28" s="82"/>
      <c r="O28" s="10"/>
      <c r="P28" s="10"/>
      <c r="Q28" s="10"/>
      <c r="R28" s="10"/>
      <c r="S28" s="31"/>
      <c r="T28" s="31"/>
      <c r="U28" s="31"/>
    </row>
    <row r="29" spans="1:21" ht="19.5" customHeight="1" x14ac:dyDescent="0.2">
      <c r="A29" s="31"/>
      <c r="B29" s="10"/>
      <c r="C29" s="10"/>
      <c r="D29" s="10"/>
      <c r="E29" s="31"/>
      <c r="F29" s="82"/>
      <c r="G29" s="31"/>
      <c r="H29" s="82"/>
      <c r="I29" s="10"/>
      <c r="J29" s="10"/>
      <c r="K29" s="10"/>
      <c r="L29" s="10"/>
      <c r="M29" s="10"/>
      <c r="N29" s="82"/>
      <c r="O29" s="10"/>
      <c r="P29" s="10"/>
      <c r="Q29" s="10"/>
      <c r="R29" s="10"/>
      <c r="S29" s="31"/>
      <c r="T29" s="31"/>
      <c r="U29" s="31"/>
    </row>
    <row r="30" spans="1:21" ht="19.5" customHeight="1" x14ac:dyDescent="0.2">
      <c r="A30" s="31"/>
      <c r="B30" s="10"/>
      <c r="C30" s="10"/>
      <c r="D30" s="10"/>
      <c r="E30" s="31"/>
      <c r="F30" s="82"/>
      <c r="G30" s="31"/>
      <c r="H30" s="82"/>
      <c r="I30" s="10"/>
      <c r="J30" s="10"/>
      <c r="K30" s="10"/>
      <c r="L30" s="10"/>
      <c r="M30" s="10"/>
      <c r="N30" s="82"/>
      <c r="O30" s="10"/>
      <c r="P30" s="10"/>
      <c r="Q30" s="10"/>
      <c r="R30" s="10"/>
      <c r="S30" s="31"/>
      <c r="T30" s="31"/>
      <c r="U30" s="31"/>
    </row>
    <row r="31" spans="1:21" ht="19.5" customHeight="1" x14ac:dyDescent="0.2">
      <c r="A31" s="31"/>
      <c r="B31" s="10"/>
      <c r="C31" s="10"/>
      <c r="D31" s="10"/>
      <c r="E31" s="31"/>
      <c r="F31" s="82"/>
      <c r="G31" s="31"/>
      <c r="H31" s="82"/>
      <c r="I31" s="10"/>
      <c r="J31" s="10"/>
      <c r="K31" s="10"/>
      <c r="L31" s="10"/>
      <c r="M31" s="10"/>
      <c r="N31" s="82"/>
      <c r="O31" s="10"/>
      <c r="P31" s="10"/>
      <c r="Q31" s="10"/>
      <c r="R31" s="10"/>
      <c r="S31" s="31"/>
      <c r="T31" s="31"/>
      <c r="U31" s="31"/>
    </row>
    <row r="32" spans="1:21" ht="19.5" customHeight="1" x14ac:dyDescent="0.2">
      <c r="A32" s="31"/>
      <c r="B32" s="10"/>
      <c r="C32" s="10"/>
      <c r="D32" s="10"/>
      <c r="E32" s="31"/>
      <c r="F32" s="82"/>
      <c r="G32" s="31"/>
      <c r="H32" s="82"/>
      <c r="I32" s="10"/>
      <c r="J32" s="10"/>
      <c r="K32" s="10"/>
      <c r="L32" s="10"/>
      <c r="M32" s="10"/>
      <c r="N32" s="82"/>
      <c r="O32" s="10"/>
      <c r="P32" s="10"/>
      <c r="Q32" s="10"/>
      <c r="R32" s="10"/>
      <c r="S32" s="31"/>
      <c r="T32" s="31"/>
      <c r="U32" s="31"/>
    </row>
    <row r="33" spans="1:21" ht="19.5" customHeight="1" x14ac:dyDescent="0.2">
      <c r="A33" s="31"/>
      <c r="B33" s="10"/>
      <c r="C33" s="10"/>
      <c r="D33" s="10"/>
      <c r="E33" s="31"/>
      <c r="F33" s="82"/>
      <c r="G33" s="31"/>
      <c r="H33" s="82"/>
      <c r="I33" s="10"/>
      <c r="J33" s="10"/>
      <c r="K33" s="10"/>
      <c r="L33" s="10"/>
      <c r="M33" s="10"/>
      <c r="N33" s="82"/>
      <c r="O33" s="10"/>
      <c r="P33" s="10"/>
      <c r="Q33" s="10"/>
      <c r="R33" s="10"/>
      <c r="S33" s="31"/>
      <c r="T33" s="31"/>
      <c r="U33" s="31"/>
    </row>
    <row r="34" spans="1:21" ht="19.5" customHeight="1" x14ac:dyDescent="0.2">
      <c r="A34" s="31"/>
      <c r="B34" s="10"/>
      <c r="C34" s="10"/>
      <c r="D34" s="10"/>
      <c r="E34" s="31"/>
      <c r="F34" s="82"/>
      <c r="G34" s="31"/>
      <c r="H34" s="82"/>
      <c r="I34" s="10"/>
      <c r="J34" s="10"/>
      <c r="K34" s="10"/>
      <c r="L34" s="10"/>
      <c r="M34" s="10"/>
      <c r="N34" s="82"/>
      <c r="O34" s="10"/>
      <c r="P34" s="10"/>
      <c r="Q34" s="10"/>
      <c r="R34" s="10"/>
      <c r="S34" s="31"/>
      <c r="T34" s="31"/>
      <c r="U34" s="31"/>
    </row>
    <row r="35" spans="1:21" ht="19.5" customHeight="1" x14ac:dyDescent="0.2">
      <c r="A35" s="31"/>
      <c r="B35" s="10"/>
      <c r="C35" s="10"/>
      <c r="D35" s="10"/>
      <c r="E35" s="31"/>
      <c r="F35" s="82"/>
      <c r="G35" s="31"/>
      <c r="H35" s="82"/>
      <c r="I35" s="10"/>
      <c r="J35" s="10"/>
      <c r="K35" s="10"/>
      <c r="L35" s="10"/>
      <c r="M35" s="10"/>
      <c r="N35" s="82"/>
      <c r="O35" s="10"/>
      <c r="P35" s="10"/>
      <c r="Q35" s="10"/>
      <c r="R35" s="10"/>
      <c r="S35" s="31"/>
      <c r="T35" s="31"/>
      <c r="U35" s="31"/>
    </row>
    <row r="36" spans="1:21" ht="19.5" customHeight="1" x14ac:dyDescent="0.2">
      <c r="A36" s="31"/>
      <c r="B36" s="10"/>
      <c r="C36" s="10"/>
      <c r="D36" s="10"/>
      <c r="E36" s="31"/>
      <c r="F36" s="82"/>
      <c r="G36" s="31"/>
      <c r="H36" s="82"/>
      <c r="I36" s="10"/>
      <c r="J36" s="10"/>
      <c r="K36" s="10"/>
      <c r="L36" s="10"/>
      <c r="M36" s="10"/>
      <c r="N36" s="82"/>
      <c r="O36" s="10"/>
      <c r="P36" s="10"/>
      <c r="Q36" s="10"/>
      <c r="R36" s="10"/>
      <c r="S36" s="31"/>
      <c r="T36" s="31"/>
      <c r="U36" s="31"/>
    </row>
    <row r="37" spans="1:21" ht="19.5" customHeight="1" x14ac:dyDescent="0.2">
      <c r="A37" s="31"/>
      <c r="B37" s="10"/>
      <c r="C37" s="10"/>
      <c r="D37" s="10"/>
      <c r="E37" s="31"/>
      <c r="F37" s="82"/>
      <c r="G37" s="31"/>
      <c r="H37" s="82"/>
      <c r="I37" s="10"/>
      <c r="J37" s="10"/>
      <c r="K37" s="10"/>
      <c r="L37" s="10"/>
      <c r="M37" s="10"/>
      <c r="N37" s="82"/>
      <c r="O37" s="10"/>
      <c r="P37" s="10"/>
      <c r="Q37" s="10"/>
      <c r="R37" s="10"/>
      <c r="S37" s="31"/>
      <c r="T37" s="31"/>
      <c r="U37" s="31"/>
    </row>
    <row r="38" spans="1:21" ht="19.5" customHeight="1" x14ac:dyDescent="0.2">
      <c r="A38" s="31"/>
      <c r="B38" s="10"/>
      <c r="C38" s="10"/>
      <c r="D38" s="10"/>
      <c r="E38" s="31"/>
      <c r="F38" s="82"/>
      <c r="G38" s="31"/>
      <c r="H38" s="82"/>
      <c r="I38" s="10"/>
      <c r="J38" s="10"/>
      <c r="K38" s="10"/>
      <c r="L38" s="10"/>
      <c r="M38" s="10"/>
      <c r="N38" s="82"/>
      <c r="O38" s="10"/>
      <c r="P38" s="10"/>
      <c r="Q38" s="10"/>
      <c r="R38" s="10"/>
      <c r="S38" s="31"/>
      <c r="T38" s="31"/>
      <c r="U38" s="31"/>
    </row>
    <row r="39" spans="1:21" ht="19.5" customHeight="1" x14ac:dyDescent="0.2">
      <c r="A39" s="31"/>
      <c r="B39" s="10"/>
      <c r="C39" s="10"/>
      <c r="D39" s="10"/>
      <c r="E39" s="31"/>
      <c r="F39" s="82"/>
      <c r="G39" s="31"/>
      <c r="H39" s="82"/>
      <c r="I39" s="10"/>
      <c r="J39" s="10"/>
      <c r="K39" s="10"/>
      <c r="L39" s="10"/>
      <c r="M39" s="10"/>
      <c r="N39" s="82"/>
      <c r="O39" s="10"/>
      <c r="P39" s="10"/>
      <c r="Q39" s="10"/>
      <c r="R39" s="10"/>
      <c r="S39" s="31"/>
      <c r="T39" s="31"/>
      <c r="U39" s="31"/>
    </row>
    <row r="40" spans="1:21" ht="19.5" customHeight="1" x14ac:dyDescent="0.2">
      <c r="A40" s="31"/>
      <c r="B40" s="10"/>
      <c r="C40" s="10"/>
      <c r="D40" s="10"/>
      <c r="E40" s="31"/>
      <c r="F40" s="82"/>
      <c r="G40" s="31"/>
      <c r="H40" s="82"/>
      <c r="I40" s="10"/>
      <c r="J40" s="10"/>
      <c r="K40" s="10"/>
      <c r="L40" s="10"/>
      <c r="M40" s="10"/>
      <c r="N40" s="82"/>
      <c r="O40" s="10"/>
      <c r="P40" s="10"/>
      <c r="Q40" s="10"/>
      <c r="R40" s="10"/>
      <c r="S40" s="31"/>
      <c r="T40" s="31"/>
      <c r="U40" s="31"/>
    </row>
    <row r="41" spans="1:21" ht="19.5" customHeight="1" x14ac:dyDescent="0.2">
      <c r="A41" s="31"/>
      <c r="B41" s="10"/>
      <c r="C41" s="10"/>
      <c r="D41" s="10"/>
      <c r="E41" s="31"/>
      <c r="F41" s="82"/>
      <c r="G41" s="31"/>
      <c r="H41" s="82"/>
      <c r="I41" s="10"/>
      <c r="J41" s="10"/>
      <c r="K41" s="10"/>
      <c r="L41" s="10"/>
      <c r="M41" s="10"/>
      <c r="N41" s="82"/>
      <c r="O41" s="10"/>
      <c r="P41" s="10"/>
      <c r="Q41" s="10"/>
      <c r="R41" s="10"/>
      <c r="S41" s="31"/>
      <c r="T41" s="31"/>
      <c r="U41" s="31"/>
    </row>
    <row r="42" spans="1:21" ht="19.5" customHeight="1" x14ac:dyDescent="0.2">
      <c r="A42" s="31"/>
      <c r="B42" s="10"/>
      <c r="C42" s="10"/>
      <c r="D42" s="10"/>
      <c r="E42" s="31"/>
      <c r="F42" s="82"/>
      <c r="G42" s="31"/>
      <c r="H42" s="82"/>
      <c r="I42" s="10"/>
      <c r="J42" s="10"/>
      <c r="K42" s="10"/>
      <c r="L42" s="10"/>
      <c r="M42" s="10"/>
      <c r="N42" s="82"/>
      <c r="O42" s="10"/>
      <c r="P42" s="10"/>
      <c r="Q42" s="10"/>
      <c r="R42" s="10"/>
      <c r="S42" s="31"/>
      <c r="T42" s="31"/>
      <c r="U42" s="31"/>
    </row>
    <row r="43" spans="1:21" ht="19.5" customHeight="1" x14ac:dyDescent="0.2">
      <c r="A43" s="31"/>
      <c r="B43" s="10"/>
      <c r="C43" s="10"/>
      <c r="D43" s="10"/>
      <c r="E43" s="31"/>
      <c r="F43" s="82"/>
      <c r="G43" s="31"/>
      <c r="H43" s="82"/>
      <c r="I43" s="10"/>
      <c r="J43" s="10"/>
      <c r="K43" s="10"/>
      <c r="L43" s="10"/>
      <c r="M43" s="10"/>
      <c r="N43" s="82"/>
      <c r="O43" s="10"/>
      <c r="P43" s="10"/>
      <c r="Q43" s="10"/>
      <c r="R43" s="10"/>
      <c r="S43" s="31"/>
      <c r="T43" s="31"/>
      <c r="U43" s="31"/>
    </row>
    <row r="44" spans="1:21" ht="19.5" customHeight="1" x14ac:dyDescent="0.2">
      <c r="A44" s="31"/>
      <c r="B44" s="10"/>
      <c r="C44" s="10"/>
      <c r="D44" s="10"/>
      <c r="E44" s="31"/>
      <c r="F44" s="82"/>
      <c r="G44" s="31"/>
      <c r="H44" s="82"/>
      <c r="I44" s="10"/>
      <c r="J44" s="10"/>
      <c r="K44" s="10"/>
      <c r="L44" s="10"/>
      <c r="M44" s="10"/>
      <c r="N44" s="82"/>
      <c r="O44" s="10"/>
      <c r="P44" s="10"/>
      <c r="Q44" s="10"/>
      <c r="R44" s="10"/>
      <c r="S44" s="31"/>
      <c r="T44" s="31"/>
      <c r="U44" s="31"/>
    </row>
    <row r="45" spans="1:21" ht="19.5" customHeight="1" x14ac:dyDescent="0.2">
      <c r="A45" s="31"/>
      <c r="B45" s="10"/>
      <c r="C45" s="10"/>
      <c r="D45" s="10"/>
      <c r="E45" s="31"/>
      <c r="F45" s="82"/>
      <c r="G45" s="31"/>
      <c r="H45" s="82"/>
      <c r="I45" s="10"/>
      <c r="J45" s="10"/>
      <c r="K45" s="10"/>
      <c r="L45" s="10"/>
      <c r="M45" s="10"/>
      <c r="N45" s="82"/>
      <c r="O45" s="10"/>
      <c r="P45" s="10"/>
      <c r="Q45" s="10"/>
      <c r="R45" s="10"/>
      <c r="S45" s="31"/>
      <c r="T45" s="31"/>
      <c r="U45" s="31"/>
    </row>
    <row r="46" spans="1:21" ht="19.5" customHeight="1" x14ac:dyDescent="0.2">
      <c r="A46" s="31"/>
      <c r="B46" s="10"/>
      <c r="C46" s="10"/>
      <c r="D46" s="10"/>
      <c r="E46" s="31"/>
      <c r="F46" s="82"/>
      <c r="G46" s="31"/>
      <c r="H46" s="82"/>
      <c r="I46" s="10"/>
      <c r="J46" s="10"/>
      <c r="K46" s="10"/>
      <c r="L46" s="10"/>
      <c r="M46" s="10"/>
      <c r="N46" s="82"/>
      <c r="O46" s="10"/>
      <c r="P46" s="10"/>
      <c r="Q46" s="10"/>
      <c r="R46" s="10"/>
      <c r="S46" s="31"/>
      <c r="T46" s="31"/>
      <c r="U46" s="31"/>
    </row>
    <row r="47" spans="1:21" ht="19.5" customHeight="1" x14ac:dyDescent="0.2">
      <c r="A47" s="31"/>
      <c r="B47" s="10"/>
      <c r="C47" s="10"/>
      <c r="D47" s="10"/>
      <c r="E47" s="31"/>
      <c r="F47" s="82"/>
      <c r="G47" s="31"/>
      <c r="H47" s="82"/>
      <c r="I47" s="10"/>
      <c r="J47" s="10"/>
      <c r="K47" s="10"/>
      <c r="L47" s="10"/>
      <c r="M47" s="10"/>
      <c r="N47" s="82"/>
      <c r="O47" s="10"/>
      <c r="P47" s="10"/>
      <c r="Q47" s="10"/>
      <c r="R47" s="10"/>
      <c r="S47" s="31"/>
      <c r="T47" s="31"/>
      <c r="U47" s="31"/>
    </row>
    <row r="48" spans="1:21" ht="19.5" customHeight="1" x14ac:dyDescent="0.2">
      <c r="A48" s="31"/>
      <c r="B48" s="10"/>
      <c r="C48" s="10"/>
      <c r="D48" s="10"/>
      <c r="E48" s="31"/>
      <c r="F48" s="82"/>
      <c r="G48" s="31"/>
      <c r="H48" s="82"/>
      <c r="I48" s="10"/>
      <c r="J48" s="10"/>
      <c r="K48" s="10"/>
      <c r="L48" s="10"/>
      <c r="M48" s="10"/>
      <c r="N48" s="82"/>
      <c r="O48" s="10"/>
      <c r="P48" s="10"/>
      <c r="Q48" s="10"/>
      <c r="R48" s="10"/>
      <c r="S48" s="31"/>
      <c r="T48" s="31"/>
      <c r="U48" s="31"/>
    </row>
    <row r="49" spans="1:21" ht="19.5" customHeight="1" x14ac:dyDescent="0.2">
      <c r="A49" s="31"/>
      <c r="B49" s="10"/>
      <c r="C49" s="10"/>
      <c r="D49" s="10"/>
      <c r="E49" s="31"/>
      <c r="F49" s="82"/>
      <c r="G49" s="31"/>
      <c r="H49" s="82"/>
      <c r="I49" s="10"/>
      <c r="J49" s="10"/>
      <c r="K49" s="10"/>
      <c r="L49" s="10"/>
      <c r="M49" s="10"/>
      <c r="N49" s="82"/>
      <c r="O49" s="10"/>
      <c r="P49" s="10"/>
      <c r="Q49" s="10"/>
      <c r="R49" s="10"/>
      <c r="S49" s="31"/>
      <c r="T49" s="31"/>
      <c r="U49" s="31"/>
    </row>
    <row r="50" spans="1:21" ht="19.5" customHeight="1" x14ac:dyDescent="0.2">
      <c r="A50" s="31"/>
      <c r="B50" s="10"/>
      <c r="C50" s="10"/>
      <c r="D50" s="10"/>
      <c r="E50" s="31"/>
      <c r="F50" s="82"/>
      <c r="G50" s="31"/>
      <c r="H50" s="82"/>
      <c r="I50" s="10"/>
      <c r="J50" s="10"/>
      <c r="K50" s="10"/>
      <c r="L50" s="10"/>
      <c r="M50" s="10"/>
      <c r="N50" s="82"/>
      <c r="O50" s="10"/>
      <c r="P50" s="10"/>
      <c r="Q50" s="10"/>
      <c r="R50" s="10"/>
      <c r="S50" s="31"/>
      <c r="T50" s="31"/>
      <c r="U50" s="31"/>
    </row>
    <row r="51" spans="1:21" ht="19.5" customHeight="1" x14ac:dyDescent="0.2">
      <c r="A51" s="31"/>
      <c r="B51" s="10"/>
      <c r="C51" s="10"/>
      <c r="D51" s="10"/>
      <c r="E51" s="31"/>
      <c r="F51" s="82"/>
      <c r="G51" s="31"/>
      <c r="H51" s="82"/>
      <c r="I51" s="10"/>
      <c r="J51" s="10"/>
      <c r="K51" s="10"/>
      <c r="L51" s="10"/>
      <c r="M51" s="10"/>
      <c r="N51" s="82"/>
      <c r="O51" s="10"/>
      <c r="P51" s="10"/>
      <c r="Q51" s="10"/>
      <c r="R51" s="10"/>
      <c r="S51" s="31"/>
      <c r="T51" s="31"/>
      <c r="U51" s="31"/>
    </row>
    <row r="52" spans="1:21" ht="19.5" customHeight="1" x14ac:dyDescent="0.2">
      <c r="A52" s="31"/>
      <c r="B52" s="10"/>
      <c r="C52" s="10"/>
      <c r="D52" s="10"/>
      <c r="E52" s="31"/>
      <c r="F52" s="82"/>
      <c r="G52" s="31"/>
      <c r="H52" s="82"/>
      <c r="I52" s="10"/>
      <c r="J52" s="10"/>
      <c r="K52" s="10"/>
      <c r="L52" s="10"/>
      <c r="M52" s="10"/>
      <c r="N52" s="82"/>
      <c r="O52" s="10"/>
      <c r="P52" s="10"/>
      <c r="Q52" s="10"/>
      <c r="R52" s="10"/>
      <c r="S52" s="31"/>
      <c r="T52" s="31"/>
      <c r="U52" s="31"/>
    </row>
    <row r="53" spans="1:21" ht="19.5" customHeight="1" x14ac:dyDescent="0.2">
      <c r="A53" s="31"/>
      <c r="B53" s="10"/>
      <c r="C53" s="10"/>
      <c r="D53" s="10"/>
      <c r="E53" s="31"/>
      <c r="F53" s="82"/>
      <c r="G53" s="31"/>
      <c r="H53" s="82"/>
      <c r="I53" s="10"/>
      <c r="J53" s="10"/>
      <c r="K53" s="10"/>
      <c r="L53" s="10"/>
      <c r="M53" s="10"/>
      <c r="N53" s="82"/>
      <c r="O53" s="10"/>
      <c r="P53" s="10"/>
      <c r="Q53" s="10"/>
      <c r="R53" s="10"/>
      <c r="S53" s="31"/>
      <c r="T53" s="31"/>
      <c r="U53" s="31"/>
    </row>
    <row r="54" spans="1:21" ht="19.5" customHeight="1" x14ac:dyDescent="0.2">
      <c r="A54" s="31"/>
      <c r="B54" s="10"/>
      <c r="C54" s="10"/>
      <c r="D54" s="10"/>
      <c r="E54" s="31"/>
      <c r="F54" s="82"/>
      <c r="G54" s="31"/>
      <c r="H54" s="82"/>
      <c r="I54" s="10"/>
      <c r="J54" s="10"/>
      <c r="K54" s="10"/>
      <c r="L54" s="10"/>
      <c r="M54" s="10"/>
      <c r="N54" s="82"/>
      <c r="O54" s="10"/>
      <c r="P54" s="10"/>
      <c r="Q54" s="10"/>
      <c r="R54" s="10"/>
      <c r="S54" s="31"/>
      <c r="T54" s="31"/>
      <c r="U54" s="31"/>
    </row>
    <row r="55" spans="1:21" ht="19.5" customHeight="1" x14ac:dyDescent="0.2">
      <c r="A55" s="31"/>
      <c r="B55" s="10"/>
      <c r="C55" s="10"/>
      <c r="D55" s="10"/>
      <c r="E55" s="31"/>
      <c r="F55" s="82"/>
      <c r="G55" s="31"/>
      <c r="H55" s="82"/>
      <c r="I55" s="10"/>
      <c r="J55" s="10"/>
      <c r="K55" s="10"/>
      <c r="L55" s="10"/>
      <c r="M55" s="10"/>
      <c r="N55" s="82"/>
      <c r="O55" s="10"/>
      <c r="P55" s="10"/>
      <c r="Q55" s="10"/>
      <c r="R55" s="10"/>
      <c r="S55" s="31"/>
      <c r="T55" s="31"/>
      <c r="U55" s="31"/>
    </row>
    <row r="56" spans="1:21" ht="19.5" customHeight="1" x14ac:dyDescent="0.2">
      <c r="A56" s="31"/>
      <c r="B56" s="10"/>
      <c r="C56" s="10"/>
      <c r="D56" s="10"/>
      <c r="E56" s="31"/>
      <c r="F56" s="82"/>
      <c r="G56" s="31"/>
      <c r="H56" s="82"/>
      <c r="I56" s="10"/>
      <c r="J56" s="10"/>
      <c r="K56" s="10"/>
      <c r="L56" s="10"/>
      <c r="M56" s="10"/>
      <c r="N56" s="82"/>
      <c r="O56" s="10"/>
      <c r="P56" s="10"/>
      <c r="Q56" s="10"/>
      <c r="R56" s="10"/>
      <c r="S56" s="31"/>
      <c r="T56" s="31"/>
      <c r="U56" s="31"/>
    </row>
    <row r="57" spans="1:21" ht="19.5" customHeight="1" x14ac:dyDescent="0.2">
      <c r="A57" s="31"/>
      <c r="B57" s="10"/>
      <c r="C57" s="10"/>
      <c r="D57" s="10"/>
      <c r="E57" s="31"/>
      <c r="F57" s="82"/>
      <c r="G57" s="31"/>
      <c r="H57" s="82"/>
      <c r="I57" s="10"/>
      <c r="J57" s="10"/>
      <c r="K57" s="10"/>
      <c r="L57" s="10"/>
      <c r="M57" s="10"/>
      <c r="N57" s="82"/>
      <c r="O57" s="10"/>
      <c r="P57" s="10"/>
      <c r="Q57" s="10"/>
      <c r="R57" s="10"/>
      <c r="S57" s="31"/>
      <c r="T57" s="31"/>
      <c r="U57" s="31"/>
    </row>
    <row r="58" spans="1:21" ht="19.5" customHeight="1" x14ac:dyDescent="0.2">
      <c r="A58" s="31"/>
      <c r="B58" s="10"/>
      <c r="C58" s="10"/>
      <c r="D58" s="10"/>
      <c r="E58" s="31"/>
      <c r="F58" s="82"/>
      <c r="G58" s="31"/>
      <c r="H58" s="82"/>
      <c r="I58" s="10"/>
      <c r="J58" s="10"/>
      <c r="K58" s="10"/>
      <c r="L58" s="10"/>
      <c r="M58" s="10"/>
      <c r="N58" s="82"/>
      <c r="O58" s="10"/>
      <c r="P58" s="10"/>
      <c r="Q58" s="10"/>
      <c r="R58" s="10"/>
      <c r="S58" s="31"/>
      <c r="T58" s="31"/>
      <c r="U58" s="31"/>
    </row>
    <row r="59" spans="1:21" ht="19.5" customHeight="1" x14ac:dyDescent="0.2">
      <c r="A59" s="31"/>
      <c r="B59" s="10"/>
      <c r="C59" s="10"/>
      <c r="D59" s="10"/>
      <c r="E59" s="31"/>
      <c r="F59" s="82"/>
      <c r="G59" s="31"/>
      <c r="H59" s="82"/>
      <c r="I59" s="10"/>
      <c r="J59" s="10"/>
      <c r="K59" s="10"/>
      <c r="L59" s="10"/>
      <c r="M59" s="10"/>
      <c r="N59" s="82"/>
      <c r="O59" s="10"/>
      <c r="P59" s="10"/>
      <c r="Q59" s="10"/>
      <c r="R59" s="10"/>
      <c r="S59" s="31"/>
      <c r="T59" s="31"/>
      <c r="U59" s="31"/>
    </row>
    <row r="60" spans="1:21" ht="19.5" customHeight="1" x14ac:dyDescent="0.2">
      <c r="A60" s="31"/>
      <c r="B60" s="10"/>
      <c r="C60" s="10"/>
      <c r="D60" s="10"/>
      <c r="E60" s="31"/>
      <c r="F60" s="82"/>
      <c r="G60" s="31"/>
      <c r="H60" s="82"/>
      <c r="I60" s="10"/>
      <c r="J60" s="10"/>
      <c r="K60" s="10"/>
      <c r="L60" s="10"/>
      <c r="M60" s="10"/>
      <c r="N60" s="82"/>
      <c r="O60" s="10"/>
      <c r="P60" s="10"/>
      <c r="Q60" s="10"/>
      <c r="R60" s="10"/>
      <c r="S60" s="31"/>
      <c r="T60" s="31"/>
      <c r="U60" s="31"/>
    </row>
    <row r="61" spans="1:21" ht="19.5" customHeight="1" x14ac:dyDescent="0.2">
      <c r="A61" s="31"/>
      <c r="B61" s="10"/>
      <c r="C61" s="10"/>
      <c r="D61" s="10"/>
      <c r="E61" s="31"/>
      <c r="F61" s="82"/>
      <c r="G61" s="31"/>
      <c r="H61" s="82"/>
      <c r="I61" s="10"/>
      <c r="J61" s="10"/>
      <c r="K61" s="10"/>
      <c r="L61" s="10"/>
      <c r="M61" s="10"/>
      <c r="N61" s="82"/>
      <c r="O61" s="10"/>
      <c r="P61" s="10"/>
      <c r="Q61" s="10"/>
      <c r="R61" s="10"/>
      <c r="S61" s="31"/>
      <c r="T61" s="31"/>
      <c r="U61" s="31"/>
    </row>
    <row r="62" spans="1:21" ht="19.5" customHeight="1" x14ac:dyDescent="0.2">
      <c r="A62" s="31"/>
      <c r="B62" s="10"/>
      <c r="C62" s="10"/>
      <c r="D62" s="10"/>
      <c r="E62" s="31"/>
      <c r="F62" s="82"/>
      <c r="G62" s="31"/>
      <c r="H62" s="82"/>
      <c r="I62" s="10"/>
      <c r="J62" s="10"/>
      <c r="K62" s="10"/>
      <c r="L62" s="10"/>
      <c r="M62" s="10"/>
      <c r="N62" s="82"/>
      <c r="O62" s="10"/>
      <c r="P62" s="10"/>
      <c r="Q62" s="10"/>
      <c r="R62" s="10"/>
      <c r="S62" s="31"/>
      <c r="T62" s="31"/>
      <c r="U62" s="31"/>
    </row>
    <row r="63" spans="1:21" ht="19.5" customHeight="1" x14ac:dyDescent="0.2">
      <c r="A63" s="31"/>
      <c r="B63" s="10"/>
      <c r="C63" s="10"/>
      <c r="D63" s="10"/>
      <c r="E63" s="31"/>
      <c r="F63" s="82"/>
      <c r="G63" s="31"/>
      <c r="H63" s="82"/>
      <c r="I63" s="10"/>
      <c r="J63" s="10"/>
      <c r="K63" s="10"/>
      <c r="L63" s="10"/>
      <c r="M63" s="10"/>
      <c r="N63" s="82"/>
      <c r="O63" s="10"/>
      <c r="P63" s="10"/>
      <c r="Q63" s="10"/>
      <c r="R63" s="10"/>
      <c r="S63" s="31"/>
      <c r="T63" s="31"/>
      <c r="U63" s="31"/>
    </row>
    <row r="64" spans="1:21" ht="19.5" customHeight="1" x14ac:dyDescent="0.2">
      <c r="A64" s="31"/>
      <c r="B64" s="10"/>
      <c r="C64" s="10"/>
      <c r="D64" s="10"/>
      <c r="E64" s="31"/>
      <c r="F64" s="82"/>
      <c r="G64" s="31"/>
      <c r="H64" s="82"/>
      <c r="I64" s="10"/>
      <c r="J64" s="10"/>
      <c r="K64" s="10"/>
      <c r="L64" s="10"/>
      <c r="M64" s="10"/>
      <c r="N64" s="82"/>
      <c r="O64" s="10"/>
      <c r="P64" s="10"/>
      <c r="Q64" s="10"/>
      <c r="R64" s="10"/>
      <c r="S64" s="31"/>
      <c r="T64" s="31"/>
      <c r="U64" s="31"/>
    </row>
    <row r="65" spans="1:21" ht="19.5" customHeight="1" x14ac:dyDescent="0.2">
      <c r="A65" s="31"/>
      <c r="B65" s="10"/>
      <c r="C65" s="10"/>
      <c r="D65" s="10"/>
      <c r="E65" s="31"/>
      <c r="F65" s="82"/>
      <c r="G65" s="31"/>
      <c r="H65" s="82"/>
      <c r="I65" s="10"/>
      <c r="J65" s="10"/>
      <c r="K65" s="10"/>
      <c r="L65" s="10"/>
      <c r="M65" s="10"/>
      <c r="N65" s="82"/>
      <c r="O65" s="10"/>
      <c r="P65" s="10"/>
      <c r="Q65" s="10"/>
      <c r="R65" s="10"/>
      <c r="S65" s="31"/>
      <c r="T65" s="31"/>
      <c r="U65" s="31"/>
    </row>
    <row r="66" spans="1:21" ht="19.5" customHeight="1" x14ac:dyDescent="0.2">
      <c r="A66" s="31"/>
      <c r="B66" s="10"/>
      <c r="C66" s="10"/>
      <c r="D66" s="10"/>
      <c r="E66" s="31"/>
      <c r="F66" s="82"/>
      <c r="G66" s="31"/>
      <c r="H66" s="82"/>
      <c r="I66" s="10"/>
      <c r="J66" s="10"/>
      <c r="K66" s="10"/>
      <c r="L66" s="10"/>
      <c r="M66" s="10"/>
      <c r="N66" s="82"/>
      <c r="O66" s="10"/>
      <c r="P66" s="10"/>
      <c r="Q66" s="10"/>
      <c r="R66" s="10"/>
      <c r="S66" s="31"/>
      <c r="T66" s="31"/>
      <c r="U66" s="31"/>
    </row>
    <row r="67" spans="1:21" ht="19.5" customHeight="1" x14ac:dyDescent="0.2">
      <c r="A67" s="31"/>
      <c r="B67" s="10"/>
      <c r="C67" s="10"/>
      <c r="D67" s="10"/>
      <c r="E67" s="31"/>
      <c r="F67" s="82"/>
      <c r="G67" s="31"/>
      <c r="H67" s="82"/>
      <c r="I67" s="10"/>
      <c r="J67" s="10"/>
      <c r="K67" s="10"/>
      <c r="L67" s="10"/>
      <c r="M67" s="10"/>
      <c r="N67" s="82"/>
      <c r="O67" s="10"/>
      <c r="P67" s="10"/>
      <c r="Q67" s="10"/>
      <c r="R67" s="10"/>
      <c r="S67" s="31"/>
      <c r="T67" s="31"/>
      <c r="U67" s="31"/>
    </row>
    <row r="68" spans="1:21" ht="19.5" customHeight="1" x14ac:dyDescent="0.2">
      <c r="A68" s="31"/>
      <c r="B68" s="10"/>
      <c r="C68" s="10"/>
      <c r="D68" s="10"/>
      <c r="E68" s="31"/>
      <c r="F68" s="82"/>
      <c r="G68" s="31"/>
      <c r="H68" s="82"/>
      <c r="I68" s="10"/>
      <c r="J68" s="10"/>
      <c r="K68" s="10"/>
      <c r="L68" s="10"/>
      <c r="M68" s="10"/>
      <c r="N68" s="82"/>
      <c r="O68" s="10"/>
      <c r="P68" s="10"/>
      <c r="Q68" s="10"/>
      <c r="R68" s="10"/>
      <c r="S68" s="31"/>
      <c r="T68" s="31"/>
      <c r="U68" s="31"/>
    </row>
    <row r="69" spans="1:21" ht="19.5" customHeight="1" x14ac:dyDescent="0.2">
      <c r="A69" s="31"/>
      <c r="B69" s="10"/>
      <c r="C69" s="10"/>
      <c r="D69" s="10"/>
      <c r="E69" s="31"/>
      <c r="F69" s="82"/>
      <c r="G69" s="31"/>
      <c r="H69" s="82"/>
      <c r="I69" s="10"/>
      <c r="J69" s="10"/>
      <c r="K69" s="10"/>
      <c r="L69" s="10"/>
      <c r="M69" s="10"/>
      <c r="N69" s="82"/>
      <c r="O69" s="10"/>
      <c r="P69" s="10"/>
      <c r="Q69" s="10"/>
      <c r="R69" s="10"/>
      <c r="S69" s="31"/>
      <c r="T69" s="31"/>
      <c r="U69" s="31"/>
    </row>
    <row r="70" spans="1:21" ht="19.5" customHeight="1" x14ac:dyDescent="0.2">
      <c r="A70" s="31"/>
      <c r="B70" s="10"/>
      <c r="C70" s="10"/>
      <c r="D70" s="10"/>
      <c r="E70" s="31"/>
      <c r="F70" s="82"/>
      <c r="G70" s="31"/>
      <c r="H70" s="82"/>
      <c r="I70" s="10"/>
      <c r="J70" s="10"/>
      <c r="K70" s="10"/>
      <c r="L70" s="10"/>
      <c r="M70" s="10"/>
      <c r="N70" s="82"/>
      <c r="O70" s="10"/>
      <c r="P70" s="10"/>
      <c r="Q70" s="10"/>
      <c r="R70" s="10"/>
      <c r="S70" s="31"/>
      <c r="T70" s="31"/>
      <c r="U70" s="31"/>
    </row>
    <row r="71" spans="1:21" ht="19.5" customHeight="1" x14ac:dyDescent="0.2">
      <c r="A71" s="31"/>
      <c r="B71" s="10"/>
      <c r="C71" s="10"/>
      <c r="D71" s="10"/>
      <c r="E71" s="31"/>
      <c r="F71" s="82"/>
      <c r="G71" s="31"/>
      <c r="H71" s="82"/>
      <c r="I71" s="10"/>
      <c r="J71" s="10"/>
      <c r="K71" s="10"/>
      <c r="L71" s="10"/>
      <c r="M71" s="10"/>
      <c r="N71" s="82"/>
      <c r="O71" s="10"/>
      <c r="P71" s="10"/>
      <c r="Q71" s="10"/>
      <c r="R71" s="10"/>
      <c r="S71" s="31"/>
      <c r="T71" s="31"/>
      <c r="U71" s="31"/>
    </row>
    <row r="72" spans="1:21" ht="19.5" customHeight="1" x14ac:dyDescent="0.2">
      <c r="A72" s="31"/>
      <c r="B72" s="10"/>
      <c r="C72" s="10"/>
      <c r="D72" s="10"/>
      <c r="E72" s="31"/>
      <c r="F72" s="82"/>
      <c r="G72" s="31"/>
      <c r="H72" s="82"/>
      <c r="I72" s="10"/>
      <c r="J72" s="10"/>
      <c r="K72" s="10"/>
      <c r="L72" s="10"/>
      <c r="M72" s="10"/>
      <c r="N72" s="82"/>
      <c r="O72" s="10"/>
      <c r="P72" s="10"/>
      <c r="Q72" s="10"/>
      <c r="R72" s="10"/>
      <c r="S72" s="31"/>
      <c r="T72" s="31"/>
      <c r="U72" s="31"/>
    </row>
    <row r="73" spans="1:21" ht="19.5" customHeight="1" x14ac:dyDescent="0.2">
      <c r="A73" s="31"/>
      <c r="B73" s="10"/>
      <c r="C73" s="10"/>
      <c r="D73" s="10"/>
      <c r="E73" s="31"/>
      <c r="F73" s="82"/>
      <c r="G73" s="31"/>
      <c r="H73" s="82"/>
      <c r="I73" s="10"/>
      <c r="J73" s="10"/>
      <c r="K73" s="10"/>
      <c r="L73" s="10"/>
      <c r="M73" s="10"/>
      <c r="N73" s="82"/>
      <c r="O73" s="10"/>
      <c r="P73" s="10"/>
      <c r="Q73" s="10"/>
      <c r="R73" s="10"/>
      <c r="S73" s="31"/>
      <c r="T73" s="31"/>
      <c r="U73" s="31"/>
    </row>
    <row r="74" spans="1:21" ht="19.5" customHeight="1" x14ac:dyDescent="0.2">
      <c r="A74" s="31"/>
      <c r="B74" s="10"/>
      <c r="C74" s="10"/>
      <c r="D74" s="10"/>
      <c r="E74" s="31"/>
      <c r="F74" s="82"/>
      <c r="G74" s="31"/>
      <c r="H74" s="82"/>
      <c r="I74" s="10"/>
      <c r="J74" s="10"/>
      <c r="K74" s="10"/>
      <c r="L74" s="10"/>
      <c r="M74" s="10"/>
      <c r="N74" s="82"/>
      <c r="O74" s="10"/>
      <c r="P74" s="10"/>
      <c r="Q74" s="10"/>
      <c r="R74" s="10"/>
      <c r="S74" s="31"/>
      <c r="T74" s="31"/>
      <c r="U74" s="31"/>
    </row>
    <row r="75" spans="1:21" ht="19.5" customHeight="1" x14ac:dyDescent="0.2">
      <c r="A75" s="31"/>
      <c r="B75" s="10"/>
      <c r="C75" s="10"/>
      <c r="D75" s="10"/>
      <c r="E75" s="31"/>
      <c r="F75" s="82"/>
      <c r="G75" s="31"/>
      <c r="H75" s="82"/>
      <c r="I75" s="10"/>
      <c r="J75" s="10"/>
      <c r="K75" s="10"/>
      <c r="L75" s="10"/>
      <c r="M75" s="10"/>
      <c r="N75" s="82"/>
      <c r="O75" s="10"/>
      <c r="P75" s="10"/>
      <c r="Q75" s="10"/>
      <c r="R75" s="10"/>
      <c r="S75" s="31"/>
      <c r="T75" s="31"/>
      <c r="U75" s="31"/>
    </row>
    <row r="76" spans="1:21" ht="19.5" customHeight="1" x14ac:dyDescent="0.2">
      <c r="A76" s="31"/>
      <c r="B76" s="10"/>
      <c r="C76" s="10"/>
      <c r="D76" s="10"/>
      <c r="E76" s="31"/>
      <c r="F76" s="82"/>
      <c r="G76" s="31"/>
      <c r="H76" s="82"/>
      <c r="I76" s="10"/>
      <c r="J76" s="10"/>
      <c r="K76" s="10"/>
      <c r="L76" s="10"/>
      <c r="M76" s="10"/>
      <c r="N76" s="82"/>
      <c r="O76" s="10"/>
      <c r="P76" s="10"/>
      <c r="Q76" s="10"/>
      <c r="R76" s="10"/>
      <c r="S76" s="31"/>
      <c r="T76" s="31"/>
      <c r="U76" s="31"/>
    </row>
    <row r="77" spans="1:21" ht="19.5" customHeight="1" x14ac:dyDescent="0.2">
      <c r="A77" s="31"/>
      <c r="B77" s="10"/>
      <c r="C77" s="10"/>
      <c r="D77" s="10"/>
      <c r="E77" s="31"/>
      <c r="F77" s="82"/>
      <c r="G77" s="31"/>
      <c r="H77" s="82"/>
      <c r="I77" s="10"/>
      <c r="J77" s="10"/>
      <c r="K77" s="10"/>
      <c r="L77" s="10"/>
      <c r="M77" s="10"/>
      <c r="N77" s="82"/>
      <c r="O77" s="10"/>
      <c r="P77" s="10"/>
      <c r="Q77" s="10"/>
      <c r="R77" s="10"/>
      <c r="S77" s="31"/>
      <c r="T77" s="31"/>
      <c r="U77" s="31"/>
    </row>
    <row r="78" spans="1:21" ht="19.5" customHeight="1" x14ac:dyDescent="0.2">
      <c r="A78" s="31"/>
      <c r="B78" s="10"/>
      <c r="C78" s="10"/>
      <c r="D78" s="10"/>
      <c r="E78" s="31"/>
      <c r="F78" s="82"/>
      <c r="G78" s="31"/>
      <c r="H78" s="82"/>
      <c r="I78" s="10"/>
      <c r="J78" s="10"/>
      <c r="K78" s="10"/>
      <c r="L78" s="10"/>
      <c r="M78" s="10"/>
      <c r="N78" s="82"/>
      <c r="O78" s="10"/>
      <c r="P78" s="10"/>
      <c r="Q78" s="10"/>
      <c r="R78" s="10"/>
      <c r="S78" s="31"/>
      <c r="T78" s="31"/>
      <c r="U78" s="31"/>
    </row>
    <row r="79" spans="1:21" ht="19.5" customHeight="1" x14ac:dyDescent="0.2">
      <c r="A79" s="31"/>
      <c r="B79" s="10"/>
      <c r="C79" s="10"/>
      <c r="D79" s="10"/>
      <c r="E79" s="31"/>
      <c r="F79" s="82"/>
      <c r="G79" s="31"/>
      <c r="H79" s="82"/>
      <c r="I79" s="10"/>
      <c r="J79" s="10"/>
      <c r="K79" s="10"/>
      <c r="L79" s="10"/>
      <c r="M79" s="10"/>
      <c r="N79" s="82"/>
      <c r="O79" s="10"/>
      <c r="P79" s="10"/>
      <c r="Q79" s="10"/>
      <c r="R79" s="10"/>
      <c r="S79" s="31"/>
      <c r="T79" s="31"/>
      <c r="U79" s="31"/>
    </row>
    <row r="80" spans="1:21" ht="19.5" customHeight="1" x14ac:dyDescent="0.2">
      <c r="A80" s="31"/>
      <c r="B80" s="10"/>
      <c r="C80" s="10"/>
      <c r="D80" s="10"/>
      <c r="E80" s="31"/>
      <c r="F80" s="82"/>
      <c r="G80" s="31"/>
      <c r="H80" s="82"/>
      <c r="I80" s="10"/>
      <c r="J80" s="10"/>
      <c r="K80" s="10"/>
      <c r="L80" s="10"/>
      <c r="M80" s="10"/>
      <c r="N80" s="82"/>
      <c r="O80" s="10"/>
      <c r="P80" s="10"/>
      <c r="Q80" s="10"/>
      <c r="R80" s="10"/>
      <c r="S80" s="31"/>
      <c r="T80" s="31"/>
      <c r="U80" s="31"/>
    </row>
    <row r="81" spans="1:21" ht="19.5" customHeight="1" x14ac:dyDescent="0.2">
      <c r="A81" s="31"/>
      <c r="B81" s="10"/>
      <c r="C81" s="10"/>
      <c r="D81" s="10"/>
      <c r="E81" s="31"/>
      <c r="F81" s="82"/>
      <c r="G81" s="31"/>
      <c r="H81" s="82"/>
      <c r="I81" s="10"/>
      <c r="J81" s="10"/>
      <c r="K81" s="10"/>
      <c r="L81" s="10"/>
      <c r="M81" s="10"/>
      <c r="N81" s="82"/>
      <c r="O81" s="10"/>
      <c r="P81" s="10"/>
      <c r="Q81" s="10"/>
      <c r="R81" s="10"/>
      <c r="S81" s="31"/>
      <c r="T81" s="31"/>
      <c r="U81" s="31"/>
    </row>
    <row r="82" spans="1:21" ht="19.5" customHeight="1" x14ac:dyDescent="0.2">
      <c r="A82" s="31"/>
      <c r="B82" s="10"/>
      <c r="C82" s="10"/>
      <c r="D82" s="10"/>
      <c r="E82" s="31"/>
      <c r="F82" s="82"/>
      <c r="G82" s="31"/>
      <c r="H82" s="82"/>
      <c r="I82" s="10"/>
      <c r="J82" s="10"/>
      <c r="K82" s="10"/>
      <c r="L82" s="10"/>
      <c r="M82" s="10"/>
      <c r="N82" s="82"/>
      <c r="O82" s="10"/>
      <c r="P82" s="10"/>
      <c r="Q82" s="10"/>
      <c r="R82" s="10"/>
      <c r="S82" s="31"/>
      <c r="T82" s="31"/>
      <c r="U82" s="31"/>
    </row>
    <row r="83" spans="1:21" ht="19.5" customHeight="1" x14ac:dyDescent="0.2">
      <c r="A83" s="31"/>
      <c r="B83" s="10"/>
      <c r="C83" s="10"/>
      <c r="D83" s="10"/>
      <c r="E83" s="31"/>
      <c r="F83" s="82"/>
      <c r="G83" s="31"/>
      <c r="H83" s="82"/>
      <c r="I83" s="10"/>
      <c r="J83" s="10"/>
      <c r="K83" s="10"/>
      <c r="L83" s="10"/>
      <c r="M83" s="10"/>
      <c r="N83" s="82"/>
      <c r="O83" s="10"/>
      <c r="P83" s="10"/>
      <c r="Q83" s="10"/>
      <c r="R83" s="10"/>
      <c r="S83" s="31"/>
      <c r="T83" s="31"/>
      <c r="U83" s="31"/>
    </row>
    <row r="84" spans="1:21" ht="19.5" customHeight="1" x14ac:dyDescent="0.2">
      <c r="A84" s="31"/>
      <c r="B84" s="10"/>
      <c r="C84" s="10"/>
      <c r="D84" s="10"/>
      <c r="E84" s="31"/>
      <c r="F84" s="82"/>
      <c r="G84" s="31"/>
      <c r="H84" s="82"/>
      <c r="I84" s="10"/>
      <c r="J84" s="10"/>
      <c r="K84" s="10"/>
      <c r="L84" s="10"/>
      <c r="M84" s="10"/>
      <c r="N84" s="82"/>
      <c r="O84" s="10"/>
      <c r="P84" s="10"/>
      <c r="Q84" s="10"/>
      <c r="R84" s="10"/>
      <c r="S84" s="31"/>
      <c r="T84" s="31"/>
      <c r="U84" s="31"/>
    </row>
    <row r="85" spans="1:21" ht="19.5" customHeight="1" x14ac:dyDescent="0.2">
      <c r="A85" s="31"/>
      <c r="B85" s="10"/>
      <c r="C85" s="10"/>
      <c r="D85" s="10"/>
      <c r="E85" s="31"/>
      <c r="F85" s="82"/>
      <c r="G85" s="31"/>
      <c r="H85" s="82"/>
      <c r="I85" s="10"/>
      <c r="J85" s="10"/>
      <c r="K85" s="10"/>
      <c r="L85" s="10"/>
      <c r="M85" s="10"/>
      <c r="N85" s="82"/>
      <c r="O85" s="10"/>
      <c r="P85" s="10"/>
      <c r="Q85" s="10"/>
      <c r="R85" s="10"/>
      <c r="S85" s="31"/>
      <c r="T85" s="31"/>
      <c r="U85" s="31"/>
    </row>
    <row r="86" spans="1:21" ht="19.5" customHeight="1" x14ac:dyDescent="0.2">
      <c r="A86" s="31"/>
      <c r="B86" s="10"/>
      <c r="C86" s="10"/>
      <c r="D86" s="10"/>
      <c r="E86" s="31"/>
      <c r="F86" s="82"/>
      <c r="G86" s="31"/>
      <c r="H86" s="82"/>
      <c r="I86" s="10"/>
      <c r="J86" s="10"/>
      <c r="K86" s="10"/>
      <c r="L86" s="10"/>
      <c r="M86" s="10"/>
      <c r="N86" s="82"/>
      <c r="O86" s="10"/>
      <c r="P86" s="10"/>
      <c r="Q86" s="10"/>
      <c r="R86" s="10"/>
      <c r="S86" s="31"/>
      <c r="T86" s="31"/>
      <c r="U86" s="31"/>
    </row>
    <row r="87" spans="1:21" ht="19.5" customHeight="1" x14ac:dyDescent="0.2">
      <c r="A87" s="31"/>
      <c r="B87" s="10"/>
      <c r="C87" s="10"/>
      <c r="D87" s="10"/>
      <c r="E87" s="31"/>
      <c r="F87" s="82"/>
      <c r="G87" s="31"/>
      <c r="H87" s="82"/>
      <c r="I87" s="10"/>
      <c r="J87" s="10"/>
      <c r="K87" s="10"/>
      <c r="L87" s="10"/>
      <c r="M87" s="10"/>
      <c r="N87" s="82"/>
      <c r="O87" s="10"/>
      <c r="P87" s="10"/>
      <c r="Q87" s="10"/>
      <c r="R87" s="10"/>
      <c r="S87" s="31"/>
      <c r="T87" s="31"/>
      <c r="U87" s="31"/>
    </row>
    <row r="88" spans="1:21" ht="19.5" customHeight="1" x14ac:dyDescent="0.2">
      <c r="A88" s="31"/>
      <c r="B88" s="10"/>
      <c r="C88" s="10"/>
      <c r="D88" s="10"/>
      <c r="E88" s="31"/>
      <c r="F88" s="82"/>
      <c r="G88" s="31"/>
      <c r="H88" s="82"/>
      <c r="I88" s="10"/>
      <c r="J88" s="10"/>
      <c r="K88" s="10"/>
      <c r="L88" s="10"/>
      <c r="M88" s="10"/>
      <c r="N88" s="82"/>
      <c r="O88" s="10"/>
      <c r="P88" s="10"/>
      <c r="Q88" s="10"/>
      <c r="R88" s="10"/>
      <c r="S88" s="31"/>
      <c r="T88" s="31"/>
      <c r="U88" s="31"/>
    </row>
    <row r="89" spans="1:21" ht="19.5" customHeight="1" x14ac:dyDescent="0.2">
      <c r="A89" s="31"/>
      <c r="B89" s="10"/>
      <c r="C89" s="10"/>
      <c r="D89" s="10"/>
      <c r="E89" s="31"/>
      <c r="F89" s="82"/>
      <c r="G89" s="31"/>
      <c r="H89" s="82"/>
      <c r="I89" s="10"/>
      <c r="J89" s="10"/>
      <c r="K89" s="10"/>
      <c r="L89" s="10"/>
      <c r="M89" s="10"/>
      <c r="N89" s="82"/>
      <c r="O89" s="10"/>
      <c r="P89" s="10"/>
      <c r="Q89" s="10"/>
      <c r="R89" s="10"/>
      <c r="S89" s="31"/>
      <c r="T89" s="31"/>
      <c r="U89" s="31"/>
    </row>
    <row r="90" spans="1:21" ht="19.5" customHeight="1" x14ac:dyDescent="0.2">
      <c r="A90" s="31"/>
      <c r="B90" s="10"/>
      <c r="C90" s="10"/>
      <c r="D90" s="10"/>
      <c r="E90" s="31"/>
      <c r="F90" s="82"/>
      <c r="G90" s="31"/>
      <c r="H90" s="82"/>
      <c r="I90" s="10"/>
      <c r="J90" s="10"/>
      <c r="K90" s="10"/>
      <c r="L90" s="10"/>
      <c r="M90" s="10"/>
      <c r="N90" s="82"/>
      <c r="O90" s="10"/>
      <c r="P90" s="10"/>
      <c r="Q90" s="10"/>
      <c r="R90" s="10"/>
      <c r="S90" s="31"/>
      <c r="T90" s="31"/>
      <c r="U90" s="31"/>
    </row>
    <row r="91" spans="1:21" ht="19.5" customHeight="1" x14ac:dyDescent="0.2">
      <c r="A91" s="31"/>
      <c r="B91" s="10"/>
      <c r="C91" s="10"/>
      <c r="D91" s="10"/>
      <c r="E91" s="31"/>
      <c r="F91" s="82"/>
      <c r="G91" s="31"/>
      <c r="H91" s="82"/>
      <c r="I91" s="10"/>
      <c r="J91" s="10"/>
      <c r="K91" s="10"/>
      <c r="L91" s="10"/>
      <c r="M91" s="10"/>
      <c r="N91" s="82"/>
      <c r="O91" s="10"/>
      <c r="P91" s="10"/>
      <c r="Q91" s="10"/>
      <c r="R91" s="10"/>
      <c r="S91" s="31"/>
      <c r="T91" s="31"/>
      <c r="U91" s="31"/>
    </row>
    <row r="92" spans="1:21" ht="19.5" customHeight="1" x14ac:dyDescent="0.2">
      <c r="A92" s="31"/>
      <c r="B92" s="10"/>
      <c r="C92" s="10"/>
      <c r="D92" s="10"/>
      <c r="E92" s="31"/>
      <c r="F92" s="82"/>
      <c r="G92" s="31"/>
      <c r="H92" s="82"/>
      <c r="I92" s="10"/>
      <c r="J92" s="10"/>
      <c r="K92" s="10"/>
      <c r="L92" s="10"/>
      <c r="M92" s="10"/>
      <c r="N92" s="82"/>
      <c r="O92" s="10"/>
      <c r="P92" s="10"/>
      <c r="Q92" s="10"/>
      <c r="R92" s="10"/>
      <c r="S92" s="31"/>
      <c r="T92" s="31"/>
      <c r="U92" s="31"/>
    </row>
    <row r="93" spans="1:21" ht="19.5" customHeight="1" x14ac:dyDescent="0.2">
      <c r="A93" s="31"/>
      <c r="B93" s="10"/>
      <c r="C93" s="10"/>
      <c r="D93" s="10"/>
      <c r="E93" s="31"/>
      <c r="F93" s="82"/>
      <c r="G93" s="31"/>
      <c r="H93" s="82"/>
      <c r="I93" s="10"/>
      <c r="J93" s="10"/>
      <c r="K93" s="10"/>
      <c r="L93" s="10"/>
      <c r="M93" s="10"/>
      <c r="N93" s="82"/>
      <c r="O93" s="10"/>
      <c r="P93" s="10"/>
      <c r="Q93" s="10"/>
      <c r="R93" s="10"/>
      <c r="S93" s="31"/>
      <c r="T93" s="31"/>
      <c r="U93" s="31"/>
    </row>
    <row r="94" spans="1:21" ht="19.5" customHeight="1" x14ac:dyDescent="0.2">
      <c r="A94" s="31"/>
      <c r="B94" s="10"/>
      <c r="C94" s="10"/>
      <c r="D94" s="10"/>
      <c r="E94" s="31"/>
      <c r="F94" s="82"/>
      <c r="G94" s="31"/>
      <c r="H94" s="82"/>
      <c r="I94" s="10"/>
      <c r="J94" s="10"/>
      <c r="K94" s="10"/>
      <c r="L94" s="10"/>
      <c r="M94" s="10"/>
      <c r="N94" s="82"/>
      <c r="O94" s="10"/>
      <c r="P94" s="10"/>
      <c r="Q94" s="10"/>
      <c r="R94" s="10"/>
      <c r="S94" s="31"/>
      <c r="T94" s="31"/>
      <c r="U94" s="31"/>
    </row>
    <row r="95" spans="1:21" ht="19.5" customHeight="1" x14ac:dyDescent="0.2">
      <c r="A95" s="31"/>
      <c r="B95" s="10"/>
      <c r="C95" s="10"/>
      <c r="D95" s="10"/>
      <c r="E95" s="31"/>
      <c r="F95" s="82"/>
      <c r="G95" s="31"/>
      <c r="H95" s="82"/>
      <c r="I95" s="10"/>
      <c r="J95" s="10"/>
      <c r="K95" s="10"/>
      <c r="L95" s="10"/>
      <c r="M95" s="10"/>
      <c r="N95" s="82"/>
      <c r="O95" s="10"/>
      <c r="P95" s="10"/>
      <c r="Q95" s="10"/>
      <c r="R95" s="10"/>
      <c r="S95" s="31"/>
      <c r="T95" s="31"/>
      <c r="U95" s="31"/>
    </row>
    <row r="96" spans="1:21" ht="19.5" customHeight="1" x14ac:dyDescent="0.2">
      <c r="A96" s="31"/>
      <c r="B96" s="10"/>
      <c r="C96" s="10"/>
      <c r="D96" s="10"/>
      <c r="E96" s="31"/>
      <c r="F96" s="82"/>
      <c r="G96" s="31"/>
      <c r="H96" s="82"/>
      <c r="I96" s="10"/>
      <c r="J96" s="10"/>
      <c r="K96" s="10"/>
      <c r="L96" s="10"/>
      <c r="M96" s="10"/>
      <c r="N96" s="82"/>
      <c r="O96" s="10"/>
      <c r="P96" s="10"/>
      <c r="Q96" s="10"/>
      <c r="R96" s="10"/>
      <c r="S96" s="31"/>
      <c r="T96" s="31"/>
      <c r="U96" s="31"/>
    </row>
    <row r="97" spans="1:21" ht="19.5" customHeight="1" x14ac:dyDescent="0.2">
      <c r="A97" s="31"/>
      <c r="B97" s="10"/>
      <c r="C97" s="10"/>
      <c r="D97" s="10"/>
      <c r="E97" s="31"/>
      <c r="F97" s="82"/>
      <c r="G97" s="31"/>
      <c r="H97" s="82"/>
      <c r="I97" s="10"/>
      <c r="J97" s="10"/>
      <c r="K97" s="10"/>
      <c r="L97" s="10"/>
      <c r="M97" s="10"/>
      <c r="N97" s="82"/>
      <c r="O97" s="10"/>
      <c r="P97" s="10"/>
      <c r="Q97" s="10"/>
      <c r="R97" s="10"/>
      <c r="S97" s="31"/>
      <c r="T97" s="31"/>
      <c r="U97" s="31"/>
    </row>
    <row r="98" spans="1:21" ht="19.5" customHeight="1" x14ac:dyDescent="0.2">
      <c r="A98" s="31"/>
      <c r="B98" s="10"/>
      <c r="C98" s="10"/>
      <c r="D98" s="10"/>
      <c r="E98" s="31"/>
      <c r="F98" s="82"/>
      <c r="G98" s="31"/>
      <c r="H98" s="82"/>
      <c r="I98" s="10"/>
      <c r="J98" s="10"/>
      <c r="K98" s="10"/>
      <c r="L98" s="10"/>
      <c r="M98" s="10"/>
      <c r="N98" s="82"/>
      <c r="O98" s="10"/>
      <c r="P98" s="10"/>
      <c r="Q98" s="10"/>
      <c r="R98" s="10"/>
      <c r="S98" s="31"/>
      <c r="T98" s="31"/>
      <c r="U98" s="31"/>
    </row>
    <row r="99" spans="1:21" ht="19.5" customHeight="1" x14ac:dyDescent="0.2">
      <c r="A99" s="31"/>
      <c r="B99" s="10"/>
      <c r="C99" s="10"/>
      <c r="D99" s="10"/>
      <c r="E99" s="31"/>
      <c r="F99" s="82"/>
      <c r="G99" s="31"/>
      <c r="H99" s="82"/>
      <c r="I99" s="10"/>
      <c r="J99" s="10"/>
      <c r="K99" s="10"/>
      <c r="L99" s="10"/>
      <c r="M99" s="10"/>
      <c r="N99" s="82"/>
      <c r="O99" s="10"/>
      <c r="P99" s="10"/>
      <c r="Q99" s="10"/>
      <c r="R99" s="10"/>
      <c r="S99" s="31"/>
      <c r="T99" s="31"/>
      <c r="U99" s="31"/>
    </row>
    <row r="100" spans="1:21" ht="19.5" customHeight="1" x14ac:dyDescent="0.2">
      <c r="A100" s="31"/>
      <c r="B100" s="10"/>
      <c r="C100" s="10"/>
      <c r="D100" s="10"/>
      <c r="E100" s="31"/>
      <c r="F100" s="82"/>
      <c r="G100" s="31"/>
      <c r="H100" s="82"/>
      <c r="I100" s="10"/>
      <c r="J100" s="10"/>
      <c r="K100" s="10"/>
      <c r="L100" s="10"/>
      <c r="M100" s="10"/>
      <c r="N100" s="82"/>
      <c r="O100" s="10"/>
      <c r="P100" s="10"/>
      <c r="Q100" s="10"/>
      <c r="R100" s="10"/>
      <c r="S100" s="31"/>
      <c r="T100" s="31"/>
      <c r="U100" s="31"/>
    </row>
    <row r="101" spans="1:21" ht="19.5" customHeight="1" x14ac:dyDescent="0.2">
      <c r="A101" s="31"/>
      <c r="B101" s="10"/>
      <c r="C101" s="10"/>
      <c r="D101" s="10"/>
      <c r="E101" s="31"/>
      <c r="F101" s="82"/>
      <c r="G101" s="31"/>
      <c r="H101" s="82"/>
      <c r="I101" s="10"/>
      <c r="J101" s="10"/>
      <c r="K101" s="10"/>
      <c r="L101" s="10"/>
      <c r="M101" s="10"/>
      <c r="N101" s="82"/>
      <c r="O101" s="10"/>
      <c r="P101" s="10"/>
      <c r="Q101" s="10"/>
      <c r="R101" s="10"/>
      <c r="S101" s="31"/>
      <c r="T101" s="31"/>
      <c r="U101" s="31"/>
    </row>
    <row r="102" spans="1:21" ht="19.5" customHeight="1" x14ac:dyDescent="0.2">
      <c r="A102" s="31"/>
      <c r="B102" s="10"/>
      <c r="C102" s="10"/>
      <c r="D102" s="10"/>
      <c r="E102" s="31"/>
      <c r="F102" s="82"/>
      <c r="G102" s="31"/>
      <c r="H102" s="82"/>
      <c r="I102" s="10"/>
      <c r="J102" s="10"/>
      <c r="K102" s="10"/>
      <c r="L102" s="10"/>
      <c r="M102" s="10"/>
      <c r="N102" s="82"/>
      <c r="O102" s="10"/>
      <c r="P102" s="10"/>
      <c r="Q102" s="10"/>
      <c r="R102" s="10"/>
      <c r="S102" s="31"/>
      <c r="T102" s="31"/>
      <c r="U102" s="31"/>
    </row>
    <row r="103" spans="1:21" ht="19.5" customHeight="1" x14ac:dyDescent="0.2">
      <c r="A103" s="31"/>
      <c r="B103" s="10"/>
      <c r="C103" s="10"/>
      <c r="D103" s="10"/>
      <c r="E103" s="31"/>
      <c r="F103" s="82"/>
      <c r="G103" s="31"/>
      <c r="H103" s="82"/>
      <c r="I103" s="10"/>
      <c r="J103" s="10"/>
      <c r="K103" s="10"/>
      <c r="L103" s="10"/>
      <c r="M103" s="10"/>
      <c r="N103" s="82"/>
      <c r="O103" s="10"/>
      <c r="P103" s="10"/>
      <c r="Q103" s="10"/>
      <c r="R103" s="10"/>
      <c r="S103" s="31"/>
      <c r="T103" s="31"/>
      <c r="U103" s="31"/>
    </row>
    <row r="104" spans="1:21" ht="19.5" customHeight="1" x14ac:dyDescent="0.2">
      <c r="A104" s="31"/>
      <c r="B104" s="10"/>
      <c r="C104" s="10"/>
      <c r="D104" s="10"/>
      <c r="E104" s="31"/>
      <c r="F104" s="82"/>
      <c r="G104" s="31"/>
      <c r="H104" s="82"/>
      <c r="I104" s="10"/>
      <c r="J104" s="10"/>
      <c r="K104" s="10"/>
      <c r="L104" s="10"/>
      <c r="M104" s="10"/>
      <c r="N104" s="82"/>
      <c r="O104" s="10"/>
      <c r="P104" s="10"/>
      <c r="Q104" s="10"/>
      <c r="R104" s="10"/>
      <c r="S104" s="31"/>
      <c r="T104" s="31"/>
      <c r="U104" s="31"/>
    </row>
    <row r="105" spans="1:21" ht="19.5" customHeight="1" x14ac:dyDescent="0.2">
      <c r="A105" s="31"/>
      <c r="B105" s="10"/>
      <c r="C105" s="10"/>
      <c r="D105" s="10"/>
      <c r="E105" s="31"/>
      <c r="F105" s="82"/>
      <c r="G105" s="31"/>
      <c r="H105" s="82"/>
      <c r="I105" s="10"/>
      <c r="J105" s="10"/>
      <c r="K105" s="10"/>
      <c r="L105" s="10"/>
      <c r="M105" s="10"/>
      <c r="N105" s="82"/>
      <c r="O105" s="10"/>
      <c r="P105" s="10"/>
      <c r="Q105" s="10"/>
      <c r="R105" s="10"/>
      <c r="S105" s="31"/>
      <c r="T105" s="31"/>
      <c r="U105" s="31"/>
    </row>
    <row r="106" spans="1:21" ht="19.5" customHeight="1" x14ac:dyDescent="0.2">
      <c r="A106" s="31"/>
      <c r="B106" s="10"/>
      <c r="C106" s="10"/>
      <c r="D106" s="10"/>
      <c r="E106" s="31"/>
      <c r="F106" s="82"/>
      <c r="G106" s="31"/>
      <c r="H106" s="82"/>
      <c r="I106" s="10"/>
      <c r="J106" s="10"/>
      <c r="K106" s="10"/>
      <c r="L106" s="10"/>
      <c r="M106" s="10"/>
      <c r="N106" s="82"/>
      <c r="O106" s="10"/>
      <c r="P106" s="10"/>
      <c r="Q106" s="10"/>
      <c r="R106" s="10"/>
      <c r="S106" s="31"/>
      <c r="T106" s="31"/>
      <c r="U106" s="31"/>
    </row>
    <row r="107" spans="1:21" ht="19.5" customHeight="1" x14ac:dyDescent="0.2">
      <c r="A107" s="31"/>
      <c r="B107" s="10"/>
      <c r="C107" s="10"/>
      <c r="D107" s="10"/>
      <c r="E107" s="31"/>
      <c r="F107" s="82"/>
      <c r="G107" s="31"/>
      <c r="H107" s="82"/>
      <c r="I107" s="10"/>
      <c r="J107" s="10"/>
      <c r="K107" s="10"/>
      <c r="L107" s="10"/>
      <c r="M107" s="10"/>
      <c r="N107" s="82"/>
      <c r="O107" s="10"/>
      <c r="P107" s="10"/>
      <c r="Q107" s="10"/>
      <c r="R107" s="10"/>
      <c r="S107" s="31"/>
      <c r="T107" s="31"/>
      <c r="U107" s="31"/>
    </row>
    <row r="108" spans="1:21" ht="19.5" customHeight="1" x14ac:dyDescent="0.2">
      <c r="A108" s="31"/>
      <c r="B108" s="10"/>
      <c r="C108" s="10"/>
      <c r="D108" s="10"/>
      <c r="E108" s="31"/>
      <c r="F108" s="82"/>
      <c r="G108" s="31"/>
      <c r="H108" s="82"/>
      <c r="I108" s="10"/>
      <c r="J108" s="10"/>
      <c r="K108" s="10"/>
      <c r="L108" s="10"/>
      <c r="M108" s="10"/>
      <c r="N108" s="82"/>
      <c r="O108" s="10"/>
      <c r="P108" s="10"/>
      <c r="Q108" s="10"/>
      <c r="R108" s="10"/>
      <c r="S108" s="31"/>
      <c r="T108" s="31"/>
      <c r="U108" s="31"/>
    </row>
    <row r="109" spans="1:21" ht="19.5" customHeight="1" x14ac:dyDescent="0.2">
      <c r="A109" s="31"/>
      <c r="B109" s="10"/>
      <c r="C109" s="10"/>
      <c r="D109" s="10"/>
      <c r="E109" s="31"/>
      <c r="F109" s="82"/>
      <c r="G109" s="31"/>
      <c r="H109" s="82"/>
      <c r="I109" s="10"/>
      <c r="J109" s="10"/>
      <c r="K109" s="10"/>
      <c r="L109" s="10"/>
      <c r="M109" s="10"/>
      <c r="N109" s="82"/>
      <c r="O109" s="10"/>
      <c r="P109" s="10"/>
      <c r="Q109" s="10"/>
      <c r="R109" s="10"/>
      <c r="S109" s="31"/>
      <c r="T109" s="31"/>
      <c r="U109" s="31"/>
    </row>
    <row r="110" spans="1:21" ht="19.5" customHeight="1" x14ac:dyDescent="0.2">
      <c r="A110" s="31"/>
      <c r="B110" s="10"/>
      <c r="C110" s="10"/>
      <c r="D110" s="10"/>
      <c r="E110" s="31"/>
      <c r="F110" s="82"/>
      <c r="G110" s="31"/>
      <c r="H110" s="82"/>
      <c r="I110" s="10"/>
      <c r="J110" s="10"/>
      <c r="K110" s="10"/>
      <c r="L110" s="10"/>
      <c r="M110" s="10"/>
      <c r="N110" s="82"/>
      <c r="O110" s="10"/>
      <c r="P110" s="10"/>
      <c r="Q110" s="10"/>
      <c r="R110" s="10"/>
      <c r="S110" s="31"/>
      <c r="T110" s="31"/>
      <c r="U110" s="31"/>
    </row>
    <row r="111" spans="1:21" ht="19.5" customHeight="1" x14ac:dyDescent="0.2">
      <c r="A111" s="31"/>
      <c r="B111" s="10"/>
      <c r="C111" s="10"/>
      <c r="D111" s="10"/>
      <c r="E111" s="31"/>
      <c r="F111" s="82"/>
      <c r="G111" s="31"/>
      <c r="H111" s="82"/>
      <c r="I111" s="10"/>
      <c r="J111" s="10"/>
      <c r="K111" s="10"/>
      <c r="L111" s="10"/>
      <c r="M111" s="10"/>
      <c r="N111" s="82"/>
      <c r="O111" s="10"/>
      <c r="P111" s="10"/>
      <c r="Q111" s="10"/>
      <c r="R111" s="10"/>
      <c r="S111" s="31"/>
      <c r="T111" s="31"/>
      <c r="U111" s="31"/>
    </row>
    <row r="112" spans="1:21" ht="19.5" customHeight="1" x14ac:dyDescent="0.2">
      <c r="A112" s="31"/>
      <c r="B112" s="10"/>
      <c r="C112" s="10"/>
      <c r="D112" s="10"/>
      <c r="E112" s="31"/>
      <c r="F112" s="82"/>
      <c r="G112" s="31"/>
      <c r="H112" s="82"/>
      <c r="I112" s="10"/>
      <c r="J112" s="10"/>
      <c r="K112" s="10"/>
      <c r="L112" s="10"/>
      <c r="M112" s="10"/>
      <c r="N112" s="82"/>
      <c r="O112" s="10"/>
      <c r="P112" s="10"/>
      <c r="Q112" s="10"/>
      <c r="R112" s="10"/>
      <c r="S112" s="31"/>
      <c r="T112" s="31"/>
      <c r="U112" s="31"/>
    </row>
    <row r="113" spans="1:21" ht="19.5" customHeight="1" x14ac:dyDescent="0.2">
      <c r="A113" s="31"/>
      <c r="B113" s="10"/>
      <c r="C113" s="10"/>
      <c r="D113" s="10"/>
      <c r="E113" s="31"/>
      <c r="F113" s="82"/>
      <c r="G113" s="31"/>
      <c r="H113" s="82"/>
      <c r="I113" s="10"/>
      <c r="J113" s="10"/>
      <c r="K113" s="10"/>
      <c r="L113" s="10"/>
      <c r="M113" s="10"/>
      <c r="N113" s="82"/>
      <c r="O113" s="10"/>
      <c r="P113" s="10"/>
      <c r="Q113" s="10"/>
      <c r="R113" s="10"/>
      <c r="S113" s="31"/>
      <c r="T113" s="31"/>
      <c r="U113" s="31"/>
    </row>
    <row r="114" spans="1:21" ht="19.5" customHeight="1" x14ac:dyDescent="0.2">
      <c r="A114" s="31"/>
      <c r="B114" s="10"/>
      <c r="C114" s="10"/>
      <c r="D114" s="10"/>
      <c r="E114" s="31"/>
      <c r="F114" s="82"/>
      <c r="G114" s="31"/>
      <c r="H114" s="82"/>
      <c r="I114" s="10"/>
      <c r="J114" s="10"/>
      <c r="K114" s="10"/>
      <c r="L114" s="10"/>
      <c r="M114" s="10"/>
      <c r="N114" s="82"/>
      <c r="O114" s="10"/>
      <c r="P114" s="10"/>
      <c r="Q114" s="10"/>
      <c r="R114" s="10"/>
      <c r="S114" s="31"/>
      <c r="T114" s="31"/>
      <c r="U114" s="31"/>
    </row>
    <row r="115" spans="1:21" ht="19.5" customHeight="1" x14ac:dyDescent="0.2">
      <c r="A115" s="31"/>
      <c r="B115" s="10"/>
      <c r="C115" s="10"/>
      <c r="D115" s="10"/>
      <c r="E115" s="31"/>
      <c r="F115" s="82"/>
      <c r="G115" s="31"/>
      <c r="H115" s="82"/>
      <c r="I115" s="10"/>
      <c r="J115" s="10"/>
      <c r="K115" s="10"/>
      <c r="L115" s="10"/>
      <c r="M115" s="10"/>
      <c r="N115" s="82"/>
      <c r="O115" s="10"/>
      <c r="P115" s="10"/>
      <c r="Q115" s="10"/>
      <c r="R115" s="10"/>
      <c r="S115" s="31"/>
      <c r="T115" s="31"/>
      <c r="U115" s="31"/>
    </row>
    <row r="116" spans="1:21" ht="19.5" customHeight="1" x14ac:dyDescent="0.2">
      <c r="A116" s="31"/>
      <c r="B116" s="10"/>
      <c r="C116" s="10"/>
      <c r="D116" s="10"/>
      <c r="E116" s="31"/>
      <c r="F116" s="82"/>
      <c r="G116" s="31"/>
      <c r="H116" s="82"/>
      <c r="I116" s="10"/>
      <c r="J116" s="10"/>
      <c r="K116" s="10"/>
      <c r="L116" s="10"/>
      <c r="M116" s="10"/>
      <c r="N116" s="82"/>
      <c r="O116" s="10"/>
      <c r="P116" s="10"/>
      <c r="Q116" s="10"/>
      <c r="R116" s="10"/>
      <c r="S116" s="31"/>
      <c r="T116" s="31"/>
      <c r="U116" s="31"/>
    </row>
    <row r="117" spans="1:21" ht="19.5" customHeight="1" x14ac:dyDescent="0.2">
      <c r="A117" s="31"/>
      <c r="B117" s="10"/>
      <c r="C117" s="10"/>
      <c r="D117" s="10"/>
      <c r="E117" s="31"/>
      <c r="F117" s="82"/>
      <c r="G117" s="31"/>
      <c r="H117" s="82"/>
      <c r="I117" s="10"/>
      <c r="J117" s="10"/>
      <c r="K117" s="10"/>
      <c r="L117" s="10"/>
      <c r="M117" s="10"/>
      <c r="N117" s="82"/>
      <c r="O117" s="10"/>
      <c r="P117" s="10"/>
      <c r="Q117" s="10"/>
      <c r="R117" s="10"/>
      <c r="S117" s="31"/>
      <c r="T117" s="31"/>
      <c r="U117" s="31"/>
    </row>
    <row r="118" spans="1:21" ht="19.5" customHeight="1" x14ac:dyDescent="0.2">
      <c r="A118" s="31"/>
      <c r="B118" s="10"/>
      <c r="C118" s="10"/>
      <c r="D118" s="10"/>
      <c r="E118" s="31"/>
      <c r="F118" s="82"/>
      <c r="G118" s="31"/>
      <c r="H118" s="82"/>
      <c r="I118" s="10"/>
      <c r="J118" s="10"/>
      <c r="K118" s="10"/>
      <c r="L118" s="10"/>
      <c r="M118" s="10"/>
      <c r="N118" s="82"/>
      <c r="O118" s="10"/>
      <c r="P118" s="10"/>
      <c r="Q118" s="10"/>
      <c r="R118" s="10"/>
      <c r="S118" s="31"/>
      <c r="T118" s="31"/>
      <c r="U118" s="31"/>
    </row>
    <row r="119" spans="1:21" ht="19.5" customHeight="1" x14ac:dyDescent="0.2">
      <c r="A119" s="31"/>
      <c r="B119" s="10"/>
      <c r="C119" s="10"/>
      <c r="D119" s="10"/>
      <c r="E119" s="31"/>
      <c r="F119" s="82"/>
      <c r="G119" s="31"/>
      <c r="H119" s="82"/>
      <c r="I119" s="10"/>
      <c r="J119" s="10"/>
      <c r="K119" s="10"/>
      <c r="L119" s="10"/>
      <c r="M119" s="10"/>
      <c r="N119" s="82"/>
      <c r="O119" s="10"/>
      <c r="P119" s="10"/>
      <c r="Q119" s="10"/>
      <c r="R119" s="10"/>
      <c r="S119" s="31"/>
      <c r="T119" s="31"/>
      <c r="U119" s="31"/>
    </row>
    <row r="120" spans="1:21" ht="19.5" customHeight="1" x14ac:dyDescent="0.2">
      <c r="A120" s="31"/>
      <c r="B120" s="10"/>
      <c r="C120" s="10"/>
      <c r="D120" s="10"/>
      <c r="E120" s="31"/>
      <c r="F120" s="82"/>
      <c r="G120" s="31"/>
      <c r="H120" s="82"/>
      <c r="I120" s="10"/>
      <c r="J120" s="10"/>
      <c r="K120" s="10"/>
      <c r="L120" s="10"/>
      <c r="M120" s="10"/>
      <c r="N120" s="82"/>
      <c r="O120" s="10"/>
      <c r="P120" s="10"/>
      <c r="Q120" s="10"/>
      <c r="R120" s="10"/>
      <c r="S120" s="31"/>
      <c r="T120" s="31"/>
      <c r="U120" s="31"/>
    </row>
    <row r="121" spans="1:21" ht="19.5" customHeight="1" x14ac:dyDescent="0.2">
      <c r="A121" s="31"/>
      <c r="B121" s="10"/>
      <c r="C121" s="10"/>
      <c r="D121" s="10"/>
      <c r="E121" s="31"/>
      <c r="F121" s="82"/>
      <c r="G121" s="31"/>
      <c r="H121" s="82"/>
      <c r="I121" s="10"/>
      <c r="J121" s="10"/>
      <c r="K121" s="10"/>
      <c r="L121" s="10"/>
      <c r="M121" s="10"/>
      <c r="N121" s="82"/>
      <c r="O121" s="10"/>
      <c r="P121" s="10"/>
      <c r="Q121" s="10"/>
      <c r="R121" s="10"/>
      <c r="S121" s="31"/>
      <c r="T121" s="31"/>
      <c r="U121" s="31"/>
    </row>
    <row r="122" spans="1:21" ht="19.5" customHeight="1" x14ac:dyDescent="0.2">
      <c r="A122" s="31"/>
      <c r="B122" s="10"/>
      <c r="C122" s="10"/>
      <c r="D122" s="10"/>
      <c r="E122" s="31"/>
      <c r="F122" s="82"/>
      <c r="G122" s="31"/>
      <c r="H122" s="82"/>
      <c r="I122" s="10"/>
      <c r="J122" s="10"/>
      <c r="K122" s="10"/>
      <c r="L122" s="10"/>
      <c r="M122" s="10"/>
      <c r="N122" s="82"/>
      <c r="O122" s="10"/>
      <c r="P122" s="10"/>
      <c r="Q122" s="10"/>
      <c r="R122" s="10"/>
      <c r="S122" s="31"/>
      <c r="T122" s="31"/>
      <c r="U122" s="31"/>
    </row>
    <row r="123" spans="1:21" ht="19.5" customHeight="1" x14ac:dyDescent="0.2">
      <c r="A123" s="31"/>
      <c r="B123" s="10"/>
      <c r="C123" s="10"/>
      <c r="D123" s="10"/>
      <c r="E123" s="31"/>
      <c r="F123" s="82"/>
      <c r="G123" s="31"/>
      <c r="H123" s="82"/>
      <c r="I123" s="10"/>
      <c r="J123" s="10"/>
      <c r="K123" s="10"/>
      <c r="L123" s="10"/>
      <c r="M123" s="10"/>
      <c r="N123" s="82"/>
      <c r="O123" s="10"/>
      <c r="P123" s="10"/>
      <c r="Q123" s="10"/>
      <c r="R123" s="10"/>
      <c r="S123" s="31"/>
      <c r="T123" s="31"/>
      <c r="U123" s="31"/>
    </row>
    <row r="124" spans="1:21" ht="19.5" customHeight="1" x14ac:dyDescent="0.2">
      <c r="A124" s="31"/>
      <c r="B124" s="10"/>
      <c r="C124" s="10"/>
      <c r="D124" s="10"/>
      <c r="E124" s="31"/>
      <c r="F124" s="82"/>
      <c r="G124" s="31"/>
      <c r="H124" s="82"/>
      <c r="I124" s="10"/>
      <c r="J124" s="10"/>
      <c r="K124" s="10"/>
      <c r="L124" s="10"/>
      <c r="M124" s="10"/>
      <c r="N124" s="82"/>
      <c r="O124" s="10"/>
      <c r="P124" s="10"/>
      <c r="Q124" s="10"/>
      <c r="R124" s="10"/>
      <c r="S124" s="31"/>
      <c r="T124" s="31"/>
      <c r="U124" s="31"/>
    </row>
    <row r="125" spans="1:21" ht="19.5" customHeight="1" x14ac:dyDescent="0.2">
      <c r="A125" s="31"/>
      <c r="B125" s="10"/>
      <c r="C125" s="10"/>
      <c r="D125" s="10"/>
      <c r="E125" s="31"/>
      <c r="F125" s="82"/>
      <c r="G125" s="31"/>
      <c r="H125" s="82"/>
      <c r="I125" s="10"/>
      <c r="J125" s="10"/>
      <c r="K125" s="10"/>
      <c r="L125" s="10"/>
      <c r="M125" s="10"/>
      <c r="N125" s="82"/>
      <c r="O125" s="10"/>
      <c r="P125" s="10"/>
      <c r="Q125" s="10"/>
      <c r="R125" s="10"/>
      <c r="S125" s="31"/>
      <c r="T125" s="31"/>
      <c r="U125" s="31"/>
    </row>
    <row r="126" spans="1:21" ht="19.5" customHeight="1" x14ac:dyDescent="0.2">
      <c r="A126" s="31"/>
      <c r="B126" s="10"/>
      <c r="C126" s="10"/>
      <c r="D126" s="10"/>
      <c r="E126" s="31"/>
      <c r="F126" s="82"/>
      <c r="G126" s="31"/>
      <c r="H126" s="82"/>
      <c r="I126" s="10"/>
      <c r="J126" s="10"/>
      <c r="K126" s="10"/>
      <c r="L126" s="10"/>
      <c r="M126" s="10"/>
      <c r="N126" s="82"/>
      <c r="O126" s="10"/>
      <c r="P126" s="10"/>
      <c r="Q126" s="10"/>
      <c r="R126" s="10"/>
      <c r="S126" s="31"/>
      <c r="T126" s="31"/>
      <c r="U126" s="31"/>
    </row>
    <row r="127" spans="1:21" ht="19.5" customHeight="1" x14ac:dyDescent="0.2">
      <c r="A127" s="31"/>
      <c r="B127" s="10"/>
      <c r="C127" s="10"/>
      <c r="D127" s="10"/>
      <c r="E127" s="31"/>
      <c r="F127" s="82"/>
      <c r="G127" s="31"/>
      <c r="H127" s="82"/>
      <c r="I127" s="10"/>
      <c r="J127" s="10"/>
      <c r="K127" s="10"/>
      <c r="L127" s="10"/>
      <c r="M127" s="10"/>
      <c r="N127" s="82"/>
      <c r="O127" s="10"/>
      <c r="P127" s="10"/>
      <c r="Q127" s="10"/>
      <c r="R127" s="10"/>
      <c r="S127" s="31"/>
      <c r="T127" s="31"/>
      <c r="U127" s="31"/>
    </row>
    <row r="128" spans="1:21" ht="19.5" customHeight="1" x14ac:dyDescent="0.2">
      <c r="A128" s="31"/>
      <c r="B128" s="10"/>
      <c r="C128" s="10"/>
      <c r="D128" s="10"/>
      <c r="E128" s="31"/>
      <c r="F128" s="82"/>
      <c r="G128" s="31"/>
      <c r="H128" s="82"/>
      <c r="I128" s="10"/>
      <c r="J128" s="10"/>
      <c r="K128" s="10"/>
      <c r="L128" s="10"/>
      <c r="M128" s="10"/>
      <c r="N128" s="82"/>
      <c r="O128" s="10"/>
      <c r="P128" s="10"/>
      <c r="Q128" s="10"/>
      <c r="R128" s="10"/>
      <c r="S128" s="31"/>
      <c r="T128" s="31"/>
      <c r="U128" s="31"/>
    </row>
    <row r="129" spans="1:21" ht="19.5" customHeight="1" x14ac:dyDescent="0.2">
      <c r="A129" s="31"/>
      <c r="B129" s="10"/>
      <c r="C129" s="10"/>
      <c r="D129" s="10"/>
      <c r="E129" s="31"/>
      <c r="F129" s="82"/>
      <c r="G129" s="31"/>
      <c r="H129" s="82"/>
      <c r="I129" s="10"/>
      <c r="J129" s="10"/>
      <c r="K129" s="10"/>
      <c r="L129" s="10"/>
      <c r="M129" s="10"/>
      <c r="N129" s="82"/>
      <c r="O129" s="10"/>
      <c r="P129" s="10"/>
      <c r="Q129" s="10"/>
      <c r="R129" s="10"/>
      <c r="S129" s="31"/>
      <c r="T129" s="31"/>
      <c r="U129" s="31"/>
    </row>
    <row r="130" spans="1:21" ht="19.5" customHeight="1" x14ac:dyDescent="0.2">
      <c r="A130" s="31"/>
      <c r="B130" s="10"/>
      <c r="C130" s="10"/>
      <c r="D130" s="10"/>
      <c r="E130" s="31"/>
      <c r="F130" s="82"/>
      <c r="G130" s="31"/>
      <c r="H130" s="82"/>
      <c r="I130" s="10"/>
      <c r="J130" s="10"/>
      <c r="K130" s="10"/>
      <c r="L130" s="10"/>
      <c r="M130" s="10"/>
      <c r="N130" s="82"/>
      <c r="O130" s="10"/>
      <c r="P130" s="10"/>
      <c r="Q130" s="10"/>
      <c r="R130" s="10"/>
      <c r="S130" s="31"/>
      <c r="T130" s="31"/>
      <c r="U130" s="31"/>
    </row>
    <row r="131" spans="1:21" ht="19.5" customHeight="1" x14ac:dyDescent="0.2">
      <c r="A131" s="31"/>
      <c r="B131" s="10"/>
      <c r="C131" s="10"/>
      <c r="D131" s="10"/>
      <c r="E131" s="31"/>
      <c r="F131" s="82"/>
      <c r="G131" s="31"/>
      <c r="H131" s="82"/>
      <c r="I131" s="10"/>
      <c r="J131" s="10"/>
      <c r="K131" s="10"/>
      <c r="L131" s="10"/>
      <c r="M131" s="10"/>
      <c r="N131" s="82"/>
      <c r="O131" s="10"/>
      <c r="P131" s="10"/>
      <c r="Q131" s="10"/>
      <c r="R131" s="10"/>
      <c r="S131" s="31"/>
      <c r="T131" s="31"/>
      <c r="U131" s="31"/>
    </row>
    <row r="132" spans="1:21" ht="19.5" customHeight="1" x14ac:dyDescent="0.2">
      <c r="A132" s="31"/>
      <c r="B132" s="10"/>
      <c r="C132" s="10"/>
      <c r="D132" s="10"/>
      <c r="E132" s="31"/>
      <c r="F132" s="82"/>
      <c r="G132" s="31"/>
      <c r="H132" s="82"/>
      <c r="I132" s="10"/>
      <c r="J132" s="10"/>
      <c r="K132" s="10"/>
      <c r="L132" s="10"/>
      <c r="M132" s="10"/>
      <c r="N132" s="82"/>
      <c r="O132" s="10"/>
      <c r="P132" s="10"/>
      <c r="Q132" s="10"/>
      <c r="R132" s="10"/>
      <c r="S132" s="31"/>
      <c r="T132" s="31"/>
      <c r="U132" s="31"/>
    </row>
    <row r="133" spans="1:21" ht="19.5" customHeight="1" x14ac:dyDescent="0.2">
      <c r="A133" s="31"/>
      <c r="B133" s="10"/>
      <c r="C133" s="10"/>
      <c r="D133" s="10"/>
      <c r="E133" s="31"/>
      <c r="F133" s="82"/>
      <c r="G133" s="31"/>
      <c r="H133" s="82"/>
      <c r="I133" s="10"/>
      <c r="J133" s="10"/>
      <c r="K133" s="10"/>
      <c r="L133" s="10"/>
      <c r="M133" s="10"/>
      <c r="N133" s="82"/>
      <c r="O133" s="10"/>
      <c r="P133" s="10"/>
      <c r="Q133" s="10"/>
      <c r="R133" s="10"/>
      <c r="S133" s="31"/>
      <c r="T133" s="31"/>
      <c r="U133" s="31"/>
    </row>
    <row r="134" spans="1:21" ht="19.5" customHeight="1" x14ac:dyDescent="0.2">
      <c r="A134" s="31"/>
      <c r="B134" s="10"/>
      <c r="C134" s="10"/>
      <c r="D134" s="10"/>
      <c r="E134" s="31"/>
      <c r="F134" s="82"/>
      <c r="G134" s="31"/>
      <c r="H134" s="82"/>
      <c r="I134" s="10"/>
      <c r="J134" s="10"/>
      <c r="K134" s="10"/>
      <c r="L134" s="10"/>
      <c r="M134" s="10"/>
      <c r="N134" s="82"/>
      <c r="O134" s="10"/>
      <c r="P134" s="10"/>
      <c r="Q134" s="10"/>
      <c r="R134" s="10"/>
      <c r="S134" s="31"/>
      <c r="T134" s="31"/>
      <c r="U134" s="31"/>
    </row>
    <row r="135" spans="1:21" ht="19.5" customHeight="1" x14ac:dyDescent="0.2">
      <c r="A135" s="31"/>
      <c r="B135" s="10"/>
      <c r="C135" s="10"/>
      <c r="D135" s="10"/>
      <c r="E135" s="31"/>
      <c r="F135" s="82"/>
      <c r="G135" s="31"/>
      <c r="H135" s="82"/>
      <c r="I135" s="10"/>
      <c r="J135" s="10"/>
      <c r="K135" s="10"/>
      <c r="L135" s="10"/>
      <c r="M135" s="10"/>
      <c r="N135" s="82"/>
      <c r="O135" s="10"/>
      <c r="P135" s="10"/>
      <c r="Q135" s="10"/>
      <c r="R135" s="10"/>
      <c r="S135" s="31"/>
      <c r="T135" s="31"/>
      <c r="U135" s="31"/>
    </row>
    <row r="136" spans="1:21" ht="19.5" customHeight="1" x14ac:dyDescent="0.2">
      <c r="A136" s="31"/>
      <c r="B136" s="10"/>
      <c r="C136" s="10"/>
      <c r="D136" s="10"/>
      <c r="E136" s="31"/>
      <c r="F136" s="82"/>
      <c r="G136" s="31"/>
      <c r="H136" s="82"/>
      <c r="I136" s="10"/>
      <c r="J136" s="10"/>
      <c r="K136" s="10"/>
      <c r="L136" s="10"/>
      <c r="M136" s="10"/>
      <c r="N136" s="82"/>
      <c r="O136" s="10"/>
      <c r="P136" s="10"/>
      <c r="Q136" s="10"/>
      <c r="R136" s="10"/>
      <c r="S136" s="31"/>
      <c r="T136" s="31"/>
      <c r="U136" s="31"/>
    </row>
    <row r="137" spans="1:21" ht="19.5" customHeight="1" x14ac:dyDescent="0.2">
      <c r="A137" s="31"/>
      <c r="B137" s="10"/>
      <c r="C137" s="10"/>
      <c r="D137" s="10"/>
      <c r="E137" s="31"/>
      <c r="F137" s="82"/>
      <c r="G137" s="31"/>
      <c r="H137" s="82"/>
      <c r="I137" s="10"/>
      <c r="J137" s="10"/>
      <c r="K137" s="10"/>
      <c r="L137" s="10"/>
      <c r="M137" s="10"/>
      <c r="N137" s="82"/>
      <c r="O137" s="10"/>
      <c r="P137" s="10"/>
      <c r="Q137" s="10"/>
      <c r="R137" s="10"/>
      <c r="S137" s="31"/>
      <c r="T137" s="31"/>
      <c r="U137" s="31"/>
    </row>
    <row r="138" spans="1:21" ht="19.5" customHeight="1" x14ac:dyDescent="0.2">
      <c r="A138" s="31"/>
      <c r="B138" s="10"/>
      <c r="C138" s="10"/>
      <c r="D138" s="10"/>
      <c r="E138" s="31"/>
      <c r="F138" s="82"/>
      <c r="G138" s="31"/>
      <c r="H138" s="82"/>
      <c r="I138" s="10"/>
      <c r="J138" s="10"/>
      <c r="K138" s="10"/>
      <c r="L138" s="10"/>
      <c r="M138" s="10"/>
      <c r="N138" s="82"/>
      <c r="O138" s="10"/>
      <c r="P138" s="10"/>
      <c r="Q138" s="10"/>
      <c r="R138" s="10"/>
      <c r="S138" s="31"/>
      <c r="T138" s="31"/>
      <c r="U138" s="31"/>
    </row>
    <row r="139" spans="1:21" ht="19.5" customHeight="1" x14ac:dyDescent="0.2">
      <c r="A139" s="31"/>
      <c r="B139" s="10"/>
      <c r="C139" s="10"/>
      <c r="D139" s="10"/>
      <c r="E139" s="31"/>
      <c r="F139" s="82"/>
      <c r="G139" s="31"/>
      <c r="H139" s="82"/>
      <c r="I139" s="10"/>
      <c r="J139" s="10"/>
      <c r="K139" s="10"/>
      <c r="L139" s="10"/>
      <c r="M139" s="10"/>
      <c r="N139" s="82"/>
      <c r="O139" s="10"/>
      <c r="P139" s="10"/>
      <c r="Q139" s="10"/>
      <c r="R139" s="10"/>
      <c r="S139" s="31"/>
      <c r="T139" s="31"/>
      <c r="U139" s="31"/>
    </row>
    <row r="140" spans="1:21" ht="19.5" customHeight="1" x14ac:dyDescent="0.2">
      <c r="A140" s="31"/>
      <c r="B140" s="10"/>
      <c r="C140" s="10"/>
      <c r="D140" s="10"/>
      <c r="E140" s="31"/>
      <c r="F140" s="82"/>
      <c r="G140" s="31"/>
      <c r="H140" s="82"/>
      <c r="I140" s="10"/>
      <c r="J140" s="10"/>
      <c r="K140" s="10"/>
      <c r="L140" s="10"/>
      <c r="M140" s="10"/>
      <c r="N140" s="82"/>
      <c r="O140" s="10"/>
      <c r="P140" s="10"/>
      <c r="Q140" s="10"/>
      <c r="R140" s="10"/>
      <c r="S140" s="31"/>
      <c r="T140" s="31"/>
      <c r="U140" s="31"/>
    </row>
    <row r="141" spans="1:21" ht="19.5" customHeight="1" x14ac:dyDescent="0.2">
      <c r="A141" s="31"/>
      <c r="B141" s="10"/>
      <c r="C141" s="10"/>
      <c r="D141" s="10"/>
      <c r="E141" s="31"/>
      <c r="F141" s="82"/>
      <c r="G141" s="31"/>
      <c r="H141" s="82"/>
      <c r="I141" s="10"/>
      <c r="J141" s="10"/>
      <c r="K141" s="10"/>
      <c r="L141" s="10"/>
      <c r="M141" s="10"/>
      <c r="N141" s="82"/>
      <c r="O141" s="10"/>
      <c r="P141" s="10"/>
      <c r="Q141" s="10"/>
      <c r="R141" s="10"/>
      <c r="S141" s="31"/>
      <c r="T141" s="31"/>
      <c r="U141" s="31"/>
    </row>
    <row r="142" spans="1:21" ht="19.5" customHeight="1" x14ac:dyDescent="0.2">
      <c r="A142" s="31"/>
      <c r="B142" s="10"/>
      <c r="C142" s="10"/>
      <c r="D142" s="10"/>
      <c r="E142" s="31"/>
      <c r="F142" s="82"/>
      <c r="G142" s="31"/>
      <c r="H142" s="82"/>
      <c r="I142" s="10"/>
      <c r="J142" s="10"/>
      <c r="K142" s="10"/>
      <c r="L142" s="10"/>
      <c r="M142" s="10"/>
      <c r="N142" s="82"/>
      <c r="O142" s="10"/>
      <c r="P142" s="10"/>
      <c r="Q142" s="10"/>
      <c r="R142" s="10"/>
      <c r="S142" s="31"/>
      <c r="T142" s="31"/>
      <c r="U142" s="31"/>
    </row>
    <row r="143" spans="1:21" ht="19.5" customHeight="1" x14ac:dyDescent="0.2">
      <c r="A143" s="31"/>
      <c r="B143" s="10"/>
      <c r="C143" s="10"/>
      <c r="D143" s="10"/>
      <c r="E143" s="31"/>
      <c r="F143" s="82"/>
      <c r="G143" s="31"/>
      <c r="H143" s="82"/>
      <c r="I143" s="10"/>
      <c r="J143" s="10"/>
      <c r="K143" s="10"/>
      <c r="L143" s="10"/>
      <c r="M143" s="10"/>
      <c r="N143" s="82"/>
      <c r="O143" s="10"/>
      <c r="P143" s="10"/>
      <c r="Q143" s="10"/>
      <c r="R143" s="10"/>
      <c r="S143" s="31"/>
      <c r="T143" s="31"/>
      <c r="U143" s="31"/>
    </row>
    <row r="144" spans="1:21" ht="19.5" customHeight="1" x14ac:dyDescent="0.2">
      <c r="A144" s="31"/>
      <c r="B144" s="10"/>
      <c r="C144" s="10"/>
      <c r="D144" s="10"/>
      <c r="E144" s="31"/>
      <c r="F144" s="82"/>
      <c r="G144" s="31"/>
      <c r="H144" s="82"/>
      <c r="I144" s="10"/>
      <c r="J144" s="10"/>
      <c r="K144" s="10"/>
      <c r="L144" s="10"/>
      <c r="M144" s="10"/>
      <c r="N144" s="82"/>
      <c r="O144" s="10"/>
      <c r="P144" s="10"/>
      <c r="Q144" s="10"/>
      <c r="R144" s="10"/>
      <c r="S144" s="31"/>
      <c r="T144" s="31"/>
      <c r="U144" s="31"/>
    </row>
    <row r="145" spans="1:21" ht="19.5" customHeight="1" x14ac:dyDescent="0.2">
      <c r="A145" s="31"/>
      <c r="B145" s="10"/>
      <c r="C145" s="10"/>
      <c r="D145" s="10"/>
      <c r="E145" s="31"/>
      <c r="F145" s="82"/>
      <c r="G145" s="31"/>
      <c r="H145" s="82"/>
      <c r="I145" s="10"/>
      <c r="J145" s="10"/>
      <c r="K145" s="10"/>
      <c r="L145" s="10"/>
      <c r="M145" s="10"/>
      <c r="N145" s="82"/>
      <c r="O145" s="10"/>
      <c r="P145" s="10"/>
      <c r="Q145" s="10"/>
      <c r="R145" s="10"/>
      <c r="S145" s="31"/>
      <c r="T145" s="31"/>
      <c r="U145" s="31"/>
    </row>
    <row r="146" spans="1:21" ht="19.5" customHeight="1" x14ac:dyDescent="0.2">
      <c r="A146" s="31"/>
      <c r="B146" s="10"/>
      <c r="C146" s="10"/>
      <c r="D146" s="10"/>
      <c r="E146" s="31"/>
      <c r="F146" s="82"/>
      <c r="G146" s="31"/>
      <c r="H146" s="82"/>
      <c r="I146" s="10"/>
      <c r="J146" s="10"/>
      <c r="K146" s="10"/>
      <c r="L146" s="10"/>
      <c r="M146" s="10"/>
      <c r="N146" s="82"/>
      <c r="O146" s="10"/>
      <c r="P146" s="10"/>
      <c r="Q146" s="10"/>
      <c r="R146" s="10"/>
      <c r="S146" s="31"/>
      <c r="T146" s="31"/>
      <c r="U146" s="31"/>
    </row>
    <row r="147" spans="1:21" ht="19.5" customHeight="1" x14ac:dyDescent="0.2">
      <c r="A147" s="31"/>
      <c r="B147" s="10"/>
      <c r="C147" s="10"/>
      <c r="D147" s="10"/>
      <c r="E147" s="31"/>
      <c r="F147" s="82"/>
      <c r="G147" s="31"/>
      <c r="H147" s="82"/>
      <c r="I147" s="10"/>
      <c r="J147" s="10"/>
      <c r="K147" s="10"/>
      <c r="L147" s="10"/>
      <c r="M147" s="10"/>
      <c r="N147" s="82"/>
      <c r="O147" s="10"/>
      <c r="P147" s="10"/>
      <c r="Q147" s="10"/>
      <c r="R147" s="10"/>
      <c r="S147" s="31"/>
      <c r="T147" s="31"/>
      <c r="U147" s="31"/>
    </row>
    <row r="148" spans="1:21" ht="19.5" customHeight="1" x14ac:dyDescent="0.2">
      <c r="A148" s="31"/>
      <c r="B148" s="10"/>
      <c r="C148" s="10"/>
      <c r="D148" s="10"/>
      <c r="E148" s="31"/>
      <c r="F148" s="82"/>
      <c r="G148" s="31"/>
      <c r="H148" s="82"/>
      <c r="I148" s="10"/>
      <c r="J148" s="10"/>
      <c r="K148" s="10"/>
      <c r="L148" s="10"/>
      <c r="M148" s="10"/>
      <c r="N148" s="82"/>
      <c r="O148" s="10"/>
      <c r="P148" s="10"/>
      <c r="Q148" s="10"/>
      <c r="R148" s="10"/>
      <c r="S148" s="31"/>
      <c r="T148" s="31"/>
      <c r="U148" s="31"/>
    </row>
    <row r="149" spans="1:21" ht="19.5" customHeight="1" x14ac:dyDescent="0.2">
      <c r="A149" s="31"/>
      <c r="B149" s="10"/>
      <c r="C149" s="10"/>
      <c r="D149" s="10"/>
      <c r="E149" s="31"/>
      <c r="F149" s="82"/>
      <c r="G149" s="31"/>
      <c r="H149" s="82"/>
      <c r="I149" s="10"/>
      <c r="J149" s="10"/>
      <c r="K149" s="10"/>
      <c r="L149" s="10"/>
      <c r="M149" s="10"/>
      <c r="N149" s="82"/>
      <c r="O149" s="10"/>
      <c r="P149" s="10"/>
      <c r="Q149" s="10"/>
      <c r="R149" s="10"/>
      <c r="S149" s="31"/>
      <c r="T149" s="31"/>
      <c r="U149" s="31"/>
    </row>
    <row r="150" spans="1:21" ht="19.5" customHeight="1" x14ac:dyDescent="0.2">
      <c r="A150" s="31"/>
      <c r="B150" s="10"/>
      <c r="C150" s="10"/>
      <c r="D150" s="10"/>
      <c r="E150" s="31"/>
      <c r="F150" s="82"/>
      <c r="G150" s="31"/>
      <c r="H150" s="82"/>
      <c r="I150" s="10"/>
      <c r="J150" s="10"/>
      <c r="K150" s="10"/>
      <c r="L150" s="10"/>
      <c r="M150" s="10"/>
      <c r="N150" s="82"/>
      <c r="O150" s="10"/>
      <c r="P150" s="10"/>
      <c r="Q150" s="10"/>
      <c r="R150" s="10"/>
      <c r="S150" s="31"/>
      <c r="T150" s="31"/>
      <c r="U150" s="31"/>
    </row>
    <row r="151" spans="1:21" ht="19.5" customHeight="1" x14ac:dyDescent="0.2">
      <c r="A151" s="31"/>
      <c r="B151" s="10"/>
      <c r="C151" s="10"/>
      <c r="D151" s="10"/>
      <c r="E151" s="31"/>
      <c r="F151" s="82"/>
      <c r="G151" s="31"/>
      <c r="H151" s="82"/>
      <c r="I151" s="10"/>
      <c r="J151" s="10"/>
      <c r="K151" s="10"/>
      <c r="L151" s="10"/>
      <c r="M151" s="10"/>
      <c r="N151" s="82"/>
      <c r="O151" s="10"/>
      <c r="P151" s="10"/>
      <c r="Q151" s="10"/>
      <c r="R151" s="10"/>
      <c r="S151" s="31"/>
      <c r="T151" s="31"/>
      <c r="U151" s="31"/>
    </row>
    <row r="152" spans="1:21" ht="19.5" customHeight="1" x14ac:dyDescent="0.2">
      <c r="A152" s="31"/>
      <c r="B152" s="10"/>
      <c r="C152" s="10"/>
      <c r="D152" s="10"/>
      <c r="E152" s="31"/>
      <c r="F152" s="82"/>
      <c r="G152" s="31"/>
      <c r="H152" s="82"/>
      <c r="I152" s="10"/>
      <c r="J152" s="10"/>
      <c r="K152" s="10"/>
      <c r="L152" s="10"/>
      <c r="M152" s="10"/>
      <c r="N152" s="82"/>
      <c r="O152" s="10"/>
      <c r="P152" s="10"/>
      <c r="Q152" s="10"/>
      <c r="R152" s="10"/>
      <c r="S152" s="31"/>
      <c r="T152" s="31"/>
      <c r="U152" s="31"/>
    </row>
    <row r="153" spans="1:21" ht="19.5" customHeight="1" x14ac:dyDescent="0.2">
      <c r="A153" s="31"/>
      <c r="B153" s="10"/>
      <c r="C153" s="10"/>
      <c r="D153" s="10"/>
      <c r="E153" s="31"/>
      <c r="F153" s="82"/>
      <c r="G153" s="31"/>
      <c r="H153" s="82"/>
      <c r="I153" s="10"/>
      <c r="J153" s="10"/>
      <c r="K153" s="10"/>
      <c r="L153" s="10"/>
      <c r="M153" s="10"/>
      <c r="N153" s="82"/>
      <c r="O153" s="10"/>
      <c r="P153" s="10"/>
      <c r="Q153" s="10"/>
      <c r="R153" s="10"/>
      <c r="S153" s="31"/>
      <c r="T153" s="31"/>
      <c r="U153" s="31"/>
    </row>
    <row r="154" spans="1:21" ht="19.5" customHeight="1" x14ac:dyDescent="0.2">
      <c r="A154" s="31"/>
      <c r="B154" s="10"/>
      <c r="C154" s="10"/>
      <c r="D154" s="10"/>
      <c r="E154" s="31"/>
      <c r="F154" s="82"/>
      <c r="G154" s="31"/>
      <c r="H154" s="82"/>
      <c r="I154" s="10"/>
      <c r="J154" s="10"/>
      <c r="K154" s="10"/>
      <c r="L154" s="10"/>
      <c r="M154" s="10"/>
      <c r="N154" s="82"/>
      <c r="O154" s="10"/>
      <c r="P154" s="10"/>
      <c r="Q154" s="10"/>
      <c r="R154" s="10"/>
      <c r="S154" s="31"/>
      <c r="T154" s="31"/>
      <c r="U154" s="31"/>
    </row>
    <row r="155" spans="1:21" ht="19.5" customHeight="1" x14ac:dyDescent="0.2">
      <c r="A155" s="31"/>
      <c r="B155" s="10"/>
      <c r="C155" s="10"/>
      <c r="D155" s="10"/>
      <c r="E155" s="31"/>
      <c r="F155" s="82"/>
      <c r="G155" s="31"/>
      <c r="H155" s="82"/>
      <c r="I155" s="10"/>
      <c r="J155" s="10"/>
      <c r="K155" s="10"/>
      <c r="L155" s="10"/>
      <c r="M155" s="10"/>
      <c r="N155" s="82"/>
      <c r="O155" s="10"/>
      <c r="P155" s="10"/>
      <c r="Q155" s="10"/>
      <c r="R155" s="10"/>
      <c r="S155" s="31"/>
      <c r="T155" s="31"/>
      <c r="U155" s="31"/>
    </row>
    <row r="156" spans="1:21" ht="19.5" customHeight="1" x14ac:dyDescent="0.2">
      <c r="A156" s="31"/>
      <c r="B156" s="10"/>
      <c r="C156" s="10"/>
      <c r="D156" s="10"/>
      <c r="E156" s="31"/>
      <c r="F156" s="82"/>
      <c r="G156" s="31"/>
      <c r="H156" s="82"/>
      <c r="I156" s="10"/>
      <c r="J156" s="10"/>
      <c r="K156" s="10"/>
      <c r="L156" s="10"/>
      <c r="M156" s="10"/>
      <c r="N156" s="82"/>
      <c r="O156" s="10"/>
      <c r="P156" s="10"/>
      <c r="Q156" s="10"/>
      <c r="R156" s="10"/>
      <c r="S156" s="31"/>
      <c r="T156" s="31"/>
      <c r="U156" s="31"/>
    </row>
    <row r="157" spans="1:21" ht="19.5" customHeight="1" x14ac:dyDescent="0.2">
      <c r="A157" s="31"/>
      <c r="B157" s="10"/>
      <c r="C157" s="10"/>
      <c r="D157" s="10"/>
      <c r="E157" s="31"/>
      <c r="F157" s="82"/>
      <c r="G157" s="31"/>
      <c r="H157" s="82"/>
      <c r="I157" s="10"/>
      <c r="J157" s="10"/>
      <c r="K157" s="10"/>
      <c r="L157" s="10"/>
      <c r="M157" s="10"/>
      <c r="N157" s="82"/>
      <c r="O157" s="10"/>
      <c r="P157" s="10"/>
      <c r="Q157" s="10"/>
      <c r="R157" s="10"/>
      <c r="S157" s="31"/>
      <c r="T157" s="31"/>
      <c r="U157" s="31"/>
    </row>
    <row r="158" spans="1:21" ht="19.5" customHeight="1" x14ac:dyDescent="0.2">
      <c r="A158" s="31"/>
      <c r="B158" s="10"/>
      <c r="C158" s="10"/>
      <c r="D158" s="10"/>
      <c r="E158" s="31"/>
      <c r="F158" s="82"/>
      <c r="G158" s="31"/>
      <c r="H158" s="82"/>
      <c r="I158" s="10"/>
      <c r="J158" s="10"/>
      <c r="K158" s="10"/>
      <c r="L158" s="10"/>
      <c r="M158" s="10"/>
      <c r="N158" s="82"/>
      <c r="O158" s="10"/>
      <c r="P158" s="10"/>
      <c r="Q158" s="10"/>
      <c r="R158" s="10"/>
      <c r="S158" s="31"/>
      <c r="T158" s="31"/>
      <c r="U158" s="31"/>
    </row>
    <row r="159" spans="1:21" ht="19.5" customHeight="1" x14ac:dyDescent="0.2">
      <c r="A159" s="31"/>
      <c r="B159" s="10"/>
      <c r="C159" s="10"/>
      <c r="D159" s="10"/>
      <c r="E159" s="31"/>
      <c r="F159" s="82"/>
      <c r="G159" s="31"/>
      <c r="H159" s="82"/>
      <c r="I159" s="10"/>
      <c r="J159" s="10"/>
      <c r="K159" s="10"/>
      <c r="L159" s="10"/>
      <c r="M159" s="10"/>
      <c r="N159" s="82"/>
      <c r="O159" s="10"/>
      <c r="P159" s="10"/>
      <c r="Q159" s="10"/>
      <c r="R159" s="10"/>
      <c r="S159" s="31"/>
      <c r="T159" s="31"/>
      <c r="U159" s="31"/>
    </row>
    <row r="160" spans="1:21" ht="19.5" customHeight="1" x14ac:dyDescent="0.2">
      <c r="A160" s="31"/>
      <c r="B160" s="10"/>
      <c r="C160" s="10"/>
      <c r="D160" s="10"/>
      <c r="E160" s="31"/>
      <c r="F160" s="82"/>
      <c r="G160" s="31"/>
      <c r="H160" s="82"/>
      <c r="I160" s="10"/>
      <c r="J160" s="10"/>
      <c r="K160" s="10"/>
      <c r="L160" s="10"/>
      <c r="M160" s="10"/>
      <c r="N160" s="82"/>
      <c r="O160" s="10"/>
      <c r="P160" s="10"/>
      <c r="Q160" s="10"/>
      <c r="R160" s="10"/>
      <c r="S160" s="31"/>
      <c r="T160" s="31"/>
      <c r="U160" s="31"/>
    </row>
    <row r="161" spans="1:21" ht="19.5" customHeight="1" x14ac:dyDescent="0.2">
      <c r="A161" s="31"/>
      <c r="B161" s="10"/>
      <c r="C161" s="10"/>
      <c r="D161" s="10"/>
      <c r="E161" s="31"/>
      <c r="F161" s="82"/>
      <c r="G161" s="31"/>
      <c r="H161" s="82"/>
      <c r="I161" s="10"/>
      <c r="J161" s="10"/>
      <c r="K161" s="10"/>
      <c r="L161" s="10"/>
      <c r="M161" s="10"/>
      <c r="N161" s="82"/>
      <c r="O161" s="10"/>
      <c r="P161" s="10"/>
      <c r="Q161" s="10"/>
      <c r="R161" s="10"/>
      <c r="S161" s="31"/>
      <c r="T161" s="31"/>
      <c r="U161" s="31"/>
    </row>
    <row r="162" spans="1:21" ht="19.5" customHeight="1" x14ac:dyDescent="0.2">
      <c r="A162" s="31"/>
      <c r="B162" s="10"/>
      <c r="C162" s="10"/>
      <c r="D162" s="10"/>
      <c r="E162" s="31"/>
      <c r="F162" s="82"/>
      <c r="G162" s="31"/>
      <c r="H162" s="82"/>
      <c r="I162" s="10"/>
      <c r="J162" s="10"/>
      <c r="K162" s="10"/>
      <c r="L162" s="10"/>
      <c r="M162" s="10"/>
      <c r="N162" s="82"/>
      <c r="O162" s="10"/>
      <c r="P162" s="10"/>
      <c r="Q162" s="10"/>
      <c r="R162" s="10"/>
      <c r="S162" s="31"/>
      <c r="T162" s="31"/>
      <c r="U162" s="31"/>
    </row>
    <row r="163" spans="1:21" ht="19.5" customHeight="1" x14ac:dyDescent="0.2">
      <c r="A163" s="31"/>
      <c r="B163" s="10"/>
      <c r="C163" s="10"/>
      <c r="D163" s="10"/>
      <c r="E163" s="31"/>
      <c r="F163" s="82"/>
      <c r="G163" s="31"/>
      <c r="H163" s="82"/>
      <c r="I163" s="10"/>
      <c r="J163" s="10"/>
      <c r="K163" s="10"/>
      <c r="L163" s="10"/>
      <c r="M163" s="10"/>
      <c r="N163" s="82"/>
      <c r="O163" s="10"/>
      <c r="P163" s="10"/>
      <c r="Q163" s="10"/>
      <c r="R163" s="10"/>
      <c r="S163" s="31"/>
      <c r="T163" s="31"/>
      <c r="U163" s="31"/>
    </row>
    <row r="164" spans="1:21" ht="19.5" customHeight="1" x14ac:dyDescent="0.2">
      <c r="A164" s="31"/>
      <c r="B164" s="10"/>
      <c r="C164" s="10"/>
      <c r="D164" s="10"/>
      <c r="E164" s="31"/>
      <c r="F164" s="82"/>
      <c r="G164" s="31"/>
      <c r="H164" s="82"/>
      <c r="I164" s="10"/>
      <c r="J164" s="10"/>
      <c r="K164" s="10"/>
      <c r="L164" s="10"/>
      <c r="M164" s="10"/>
      <c r="N164" s="82"/>
      <c r="O164" s="10"/>
      <c r="P164" s="10"/>
      <c r="Q164" s="10"/>
      <c r="R164" s="10"/>
      <c r="S164" s="31"/>
      <c r="T164" s="31"/>
      <c r="U164" s="31"/>
    </row>
    <row r="165" spans="1:21" ht="19.5" customHeight="1" x14ac:dyDescent="0.2">
      <c r="A165" s="31"/>
      <c r="B165" s="10"/>
      <c r="C165" s="10"/>
      <c r="D165" s="10"/>
      <c r="E165" s="31"/>
      <c r="F165" s="82"/>
      <c r="G165" s="31"/>
      <c r="H165" s="82"/>
      <c r="I165" s="10"/>
      <c r="J165" s="10"/>
      <c r="K165" s="10"/>
      <c r="L165" s="10"/>
      <c r="M165" s="10"/>
      <c r="N165" s="82"/>
      <c r="O165" s="10"/>
      <c r="P165" s="10"/>
      <c r="Q165" s="10"/>
      <c r="R165" s="10"/>
      <c r="S165" s="31"/>
      <c r="T165" s="31"/>
      <c r="U165" s="31"/>
    </row>
    <row r="166" spans="1:21" ht="19.5" customHeight="1" x14ac:dyDescent="0.2">
      <c r="A166" s="31"/>
      <c r="B166" s="10"/>
      <c r="C166" s="10"/>
      <c r="D166" s="10"/>
      <c r="E166" s="31"/>
      <c r="F166" s="82"/>
      <c r="G166" s="31"/>
      <c r="H166" s="82"/>
      <c r="I166" s="10"/>
      <c r="J166" s="10"/>
      <c r="K166" s="10"/>
      <c r="L166" s="10"/>
      <c r="M166" s="10"/>
      <c r="N166" s="82"/>
      <c r="O166" s="10"/>
      <c r="P166" s="10"/>
      <c r="Q166" s="10"/>
      <c r="R166" s="10"/>
      <c r="S166" s="31"/>
      <c r="T166" s="31"/>
      <c r="U166" s="31"/>
    </row>
    <row r="167" spans="1:21" ht="19.5" customHeight="1" x14ac:dyDescent="0.2">
      <c r="A167" s="31"/>
      <c r="B167" s="10"/>
      <c r="C167" s="10"/>
      <c r="D167" s="10"/>
      <c r="E167" s="31"/>
      <c r="F167" s="82"/>
      <c r="G167" s="31"/>
      <c r="H167" s="82"/>
      <c r="I167" s="10"/>
      <c r="J167" s="10"/>
      <c r="K167" s="10"/>
      <c r="L167" s="10"/>
      <c r="M167" s="10"/>
      <c r="N167" s="82"/>
      <c r="O167" s="10"/>
      <c r="P167" s="10"/>
      <c r="Q167" s="10"/>
      <c r="R167" s="10"/>
      <c r="S167" s="31"/>
      <c r="T167" s="31"/>
      <c r="U167" s="31"/>
    </row>
    <row r="168" spans="1:21" ht="19.5" customHeight="1" x14ac:dyDescent="0.2">
      <c r="A168" s="31"/>
      <c r="B168" s="10"/>
      <c r="C168" s="10"/>
      <c r="D168" s="10"/>
      <c r="E168" s="31"/>
      <c r="F168" s="82"/>
      <c r="G168" s="31"/>
      <c r="H168" s="82"/>
      <c r="I168" s="10"/>
      <c r="J168" s="10"/>
      <c r="K168" s="10"/>
      <c r="L168" s="10"/>
      <c r="M168" s="10"/>
      <c r="N168" s="82"/>
      <c r="O168" s="10"/>
      <c r="P168" s="10"/>
      <c r="Q168" s="10"/>
      <c r="R168" s="10"/>
      <c r="S168" s="31"/>
      <c r="T168" s="31"/>
      <c r="U168" s="31"/>
    </row>
    <row r="169" spans="1:21" ht="19.5" customHeight="1" x14ac:dyDescent="0.2">
      <c r="A169" s="31"/>
      <c r="B169" s="10"/>
      <c r="C169" s="10"/>
      <c r="D169" s="10"/>
      <c r="E169" s="31"/>
      <c r="F169" s="82"/>
      <c r="G169" s="31"/>
      <c r="H169" s="82"/>
      <c r="I169" s="10"/>
      <c r="J169" s="10"/>
      <c r="K169" s="10"/>
      <c r="L169" s="10"/>
      <c r="M169" s="10"/>
      <c r="N169" s="82"/>
      <c r="O169" s="10"/>
      <c r="P169" s="10"/>
      <c r="Q169" s="10"/>
      <c r="R169" s="10"/>
      <c r="S169" s="31"/>
      <c r="T169" s="31"/>
      <c r="U169" s="31"/>
    </row>
    <row r="170" spans="1:21" ht="19.5" customHeight="1" x14ac:dyDescent="0.2">
      <c r="A170" s="31"/>
      <c r="B170" s="10"/>
      <c r="C170" s="10"/>
      <c r="D170" s="10"/>
      <c r="E170" s="31"/>
      <c r="F170" s="82"/>
      <c r="G170" s="31"/>
      <c r="H170" s="82"/>
      <c r="I170" s="10"/>
      <c r="J170" s="10"/>
      <c r="K170" s="10"/>
      <c r="L170" s="10"/>
      <c r="M170" s="10"/>
      <c r="N170" s="82"/>
      <c r="O170" s="10"/>
      <c r="P170" s="10"/>
      <c r="Q170" s="10"/>
      <c r="R170" s="10"/>
      <c r="S170" s="31"/>
      <c r="T170" s="31"/>
      <c r="U170" s="31"/>
    </row>
    <row r="171" spans="1:21" ht="19.5" customHeight="1" x14ac:dyDescent="0.2">
      <c r="A171" s="31"/>
      <c r="B171" s="10"/>
      <c r="C171" s="10"/>
      <c r="D171" s="10"/>
      <c r="E171" s="31"/>
      <c r="F171" s="82"/>
      <c r="G171" s="31"/>
      <c r="H171" s="82"/>
      <c r="I171" s="10"/>
      <c r="J171" s="10"/>
      <c r="K171" s="10"/>
      <c r="L171" s="10"/>
      <c r="M171" s="10"/>
      <c r="N171" s="82"/>
      <c r="O171" s="10"/>
      <c r="P171" s="10"/>
      <c r="Q171" s="10"/>
      <c r="R171" s="10"/>
      <c r="S171" s="31"/>
      <c r="T171" s="31"/>
      <c r="U171" s="31"/>
    </row>
    <row r="172" spans="1:21" ht="19.5" customHeight="1" x14ac:dyDescent="0.2">
      <c r="A172" s="31"/>
      <c r="B172" s="10"/>
      <c r="C172" s="10"/>
      <c r="D172" s="10"/>
      <c r="E172" s="31"/>
      <c r="F172" s="82"/>
      <c r="G172" s="31"/>
      <c r="H172" s="82"/>
      <c r="I172" s="10"/>
      <c r="J172" s="10"/>
      <c r="K172" s="10"/>
      <c r="L172" s="10"/>
      <c r="M172" s="10"/>
      <c r="N172" s="82"/>
      <c r="O172" s="10"/>
      <c r="P172" s="10"/>
      <c r="Q172" s="10"/>
      <c r="R172" s="10"/>
      <c r="S172" s="31"/>
      <c r="T172" s="31"/>
      <c r="U172" s="31"/>
    </row>
    <row r="173" spans="1:21" ht="19.5" customHeight="1" x14ac:dyDescent="0.2">
      <c r="A173" s="31"/>
      <c r="B173" s="10"/>
      <c r="C173" s="10"/>
      <c r="D173" s="10"/>
      <c r="E173" s="31"/>
      <c r="F173" s="82"/>
      <c r="G173" s="31"/>
      <c r="H173" s="82"/>
      <c r="I173" s="10"/>
      <c r="J173" s="10"/>
      <c r="K173" s="10"/>
      <c r="L173" s="10"/>
      <c r="M173" s="10"/>
      <c r="N173" s="82"/>
      <c r="O173" s="10"/>
      <c r="P173" s="10"/>
      <c r="Q173" s="10"/>
      <c r="R173" s="10"/>
      <c r="S173" s="31"/>
      <c r="T173" s="31"/>
      <c r="U173" s="31"/>
    </row>
    <row r="174" spans="1:21" ht="19.5" customHeight="1" x14ac:dyDescent="0.2">
      <c r="A174" s="31"/>
      <c r="B174" s="10"/>
      <c r="C174" s="10"/>
      <c r="D174" s="10"/>
      <c r="E174" s="31"/>
      <c r="F174" s="82"/>
      <c r="G174" s="31"/>
      <c r="H174" s="82"/>
      <c r="I174" s="10"/>
      <c r="J174" s="10"/>
      <c r="K174" s="10"/>
      <c r="L174" s="10"/>
      <c r="M174" s="10"/>
      <c r="N174" s="82"/>
      <c r="O174" s="10"/>
      <c r="P174" s="10"/>
      <c r="Q174" s="10"/>
      <c r="R174" s="10"/>
      <c r="S174" s="31"/>
      <c r="T174" s="31"/>
      <c r="U174" s="31"/>
    </row>
    <row r="175" spans="1:21" ht="19.5" customHeight="1" x14ac:dyDescent="0.2">
      <c r="A175" s="31"/>
      <c r="B175" s="10"/>
      <c r="C175" s="10"/>
      <c r="D175" s="10"/>
      <c r="E175" s="31"/>
      <c r="F175" s="82"/>
      <c r="G175" s="31"/>
      <c r="H175" s="82"/>
      <c r="I175" s="10"/>
      <c r="J175" s="10"/>
      <c r="K175" s="10"/>
      <c r="L175" s="10"/>
      <c r="M175" s="10"/>
      <c r="N175" s="82"/>
      <c r="O175" s="10"/>
      <c r="P175" s="10"/>
      <c r="Q175" s="10"/>
      <c r="R175" s="10"/>
      <c r="S175" s="31"/>
      <c r="T175" s="31"/>
      <c r="U175" s="31"/>
    </row>
    <row r="176" spans="1:21" ht="19.5" customHeight="1" x14ac:dyDescent="0.2">
      <c r="A176" s="31"/>
      <c r="B176" s="10"/>
      <c r="C176" s="10"/>
      <c r="D176" s="10"/>
      <c r="E176" s="31"/>
      <c r="F176" s="82"/>
      <c r="G176" s="31"/>
      <c r="H176" s="82"/>
      <c r="I176" s="10"/>
      <c r="J176" s="10"/>
      <c r="K176" s="10"/>
      <c r="L176" s="10"/>
      <c r="M176" s="10"/>
      <c r="N176" s="82"/>
      <c r="O176" s="10"/>
      <c r="P176" s="10"/>
      <c r="Q176" s="10"/>
      <c r="R176" s="10"/>
      <c r="S176" s="31"/>
      <c r="T176" s="31"/>
      <c r="U176" s="31"/>
    </row>
    <row r="177" spans="1:21" ht="19.5" customHeight="1" x14ac:dyDescent="0.2">
      <c r="A177" s="31"/>
      <c r="B177" s="10"/>
      <c r="C177" s="10"/>
      <c r="D177" s="10"/>
      <c r="E177" s="31"/>
      <c r="F177" s="82"/>
      <c r="G177" s="31"/>
      <c r="H177" s="82"/>
      <c r="I177" s="10"/>
      <c r="J177" s="10"/>
      <c r="K177" s="10"/>
      <c r="L177" s="10"/>
      <c r="M177" s="10"/>
      <c r="N177" s="82"/>
      <c r="O177" s="10"/>
      <c r="P177" s="10"/>
      <c r="Q177" s="10"/>
      <c r="R177" s="10"/>
      <c r="S177" s="31"/>
      <c r="T177" s="31"/>
      <c r="U177" s="31"/>
    </row>
    <row r="178" spans="1:21" ht="19.5" customHeight="1" x14ac:dyDescent="0.2">
      <c r="A178" s="31"/>
      <c r="B178" s="10"/>
      <c r="C178" s="10"/>
      <c r="D178" s="10"/>
      <c r="E178" s="31"/>
      <c r="F178" s="82"/>
      <c r="G178" s="31"/>
      <c r="H178" s="82"/>
      <c r="I178" s="10"/>
      <c r="J178" s="10"/>
      <c r="K178" s="10"/>
      <c r="L178" s="10"/>
      <c r="M178" s="10"/>
      <c r="N178" s="82"/>
      <c r="O178" s="10"/>
      <c r="P178" s="10"/>
      <c r="Q178" s="10"/>
      <c r="R178" s="10"/>
      <c r="S178" s="31"/>
      <c r="T178" s="31"/>
      <c r="U178" s="31"/>
    </row>
    <row r="179" spans="1:21" ht="19.5" customHeight="1" x14ac:dyDescent="0.2">
      <c r="A179" s="31"/>
      <c r="B179" s="10"/>
      <c r="C179" s="10"/>
      <c r="D179" s="10"/>
      <c r="E179" s="31"/>
      <c r="F179" s="82"/>
      <c r="G179" s="31"/>
      <c r="H179" s="82"/>
      <c r="I179" s="10"/>
      <c r="J179" s="10"/>
      <c r="K179" s="10"/>
      <c r="L179" s="10"/>
      <c r="M179" s="10"/>
      <c r="N179" s="82"/>
      <c r="O179" s="10"/>
      <c r="P179" s="10"/>
      <c r="Q179" s="10"/>
      <c r="R179" s="10"/>
      <c r="S179" s="31"/>
      <c r="T179" s="31"/>
      <c r="U179" s="31"/>
    </row>
    <row r="180" spans="1:21" ht="19.5" customHeight="1" x14ac:dyDescent="0.2">
      <c r="A180" s="31"/>
      <c r="B180" s="10"/>
      <c r="C180" s="10"/>
      <c r="D180" s="10"/>
      <c r="E180" s="31"/>
      <c r="F180" s="82"/>
      <c r="G180" s="31"/>
      <c r="H180" s="82"/>
      <c r="I180" s="10"/>
      <c r="J180" s="10"/>
      <c r="K180" s="10"/>
      <c r="L180" s="10"/>
      <c r="M180" s="10"/>
      <c r="N180" s="82"/>
      <c r="O180" s="10"/>
      <c r="P180" s="10"/>
      <c r="Q180" s="10"/>
      <c r="R180" s="10"/>
      <c r="S180" s="31"/>
      <c r="T180" s="31"/>
      <c r="U180" s="31"/>
    </row>
    <row r="181" spans="1:21" ht="19.5" customHeight="1" x14ac:dyDescent="0.2">
      <c r="A181" s="31"/>
      <c r="B181" s="10"/>
      <c r="C181" s="10"/>
      <c r="D181" s="10"/>
      <c r="E181" s="31"/>
      <c r="F181" s="82"/>
      <c r="G181" s="31"/>
      <c r="H181" s="82"/>
      <c r="I181" s="10"/>
      <c r="J181" s="10"/>
      <c r="K181" s="10"/>
      <c r="L181" s="10"/>
      <c r="M181" s="10"/>
      <c r="N181" s="82"/>
      <c r="O181" s="10"/>
      <c r="P181" s="10"/>
      <c r="Q181" s="10"/>
      <c r="R181" s="10"/>
      <c r="S181" s="31"/>
      <c r="T181" s="31"/>
      <c r="U181" s="31"/>
    </row>
    <row r="182" spans="1:21" ht="19.5" customHeight="1" x14ac:dyDescent="0.2">
      <c r="A182" s="31"/>
      <c r="B182" s="10"/>
      <c r="C182" s="10"/>
      <c r="D182" s="10"/>
      <c r="E182" s="31"/>
      <c r="F182" s="82"/>
      <c r="G182" s="31"/>
      <c r="H182" s="82"/>
      <c r="I182" s="10"/>
      <c r="J182" s="10"/>
      <c r="K182" s="10"/>
      <c r="L182" s="10"/>
      <c r="M182" s="10"/>
      <c r="N182" s="82"/>
      <c r="O182" s="10"/>
      <c r="P182" s="10"/>
      <c r="Q182" s="10"/>
      <c r="R182" s="10"/>
      <c r="S182" s="31"/>
      <c r="T182" s="31"/>
      <c r="U182" s="31"/>
    </row>
    <row r="183" spans="1:21" ht="19.5" customHeight="1" x14ac:dyDescent="0.2">
      <c r="A183" s="31"/>
      <c r="B183" s="10"/>
      <c r="C183" s="10"/>
      <c r="D183" s="10"/>
      <c r="E183" s="31"/>
      <c r="F183" s="82"/>
      <c r="G183" s="31"/>
      <c r="H183" s="82"/>
      <c r="I183" s="10"/>
      <c r="J183" s="10"/>
      <c r="K183" s="10"/>
      <c r="L183" s="10"/>
      <c r="M183" s="10"/>
      <c r="N183" s="82"/>
      <c r="O183" s="10"/>
      <c r="P183" s="10"/>
      <c r="Q183" s="10"/>
      <c r="R183" s="10"/>
      <c r="S183" s="31"/>
      <c r="T183" s="31"/>
      <c r="U183" s="31"/>
    </row>
    <row r="184" spans="1:21" ht="19.5" customHeight="1" x14ac:dyDescent="0.2">
      <c r="A184" s="31"/>
      <c r="B184" s="10"/>
      <c r="C184" s="10"/>
      <c r="D184" s="10"/>
      <c r="E184" s="31"/>
      <c r="F184" s="82"/>
      <c r="G184" s="31"/>
      <c r="H184" s="82"/>
      <c r="I184" s="10"/>
      <c r="J184" s="10"/>
      <c r="K184" s="10"/>
      <c r="L184" s="10"/>
      <c r="M184" s="10"/>
      <c r="N184" s="82"/>
      <c r="O184" s="10"/>
      <c r="P184" s="10"/>
      <c r="Q184" s="10"/>
      <c r="R184" s="10"/>
      <c r="S184" s="31"/>
      <c r="T184" s="31"/>
      <c r="U184" s="31"/>
    </row>
    <row r="185" spans="1:21" ht="19.5" customHeight="1" x14ac:dyDescent="0.2">
      <c r="A185" s="31"/>
      <c r="B185" s="10"/>
      <c r="C185" s="10"/>
      <c r="D185" s="10"/>
      <c r="E185" s="31"/>
      <c r="F185" s="82"/>
      <c r="G185" s="31"/>
      <c r="H185" s="82"/>
      <c r="I185" s="10"/>
      <c r="J185" s="10"/>
      <c r="K185" s="10"/>
      <c r="L185" s="10"/>
      <c r="M185" s="10"/>
      <c r="N185" s="82"/>
      <c r="O185" s="10"/>
      <c r="P185" s="10"/>
      <c r="Q185" s="10"/>
      <c r="R185" s="10"/>
      <c r="S185" s="31"/>
      <c r="T185" s="31"/>
      <c r="U185" s="31"/>
    </row>
    <row r="186" spans="1:21" ht="19.5" customHeight="1" x14ac:dyDescent="0.2">
      <c r="A186" s="31"/>
      <c r="B186" s="10"/>
      <c r="C186" s="10"/>
      <c r="D186" s="10"/>
      <c r="E186" s="31"/>
      <c r="F186" s="82"/>
      <c r="G186" s="31"/>
      <c r="H186" s="82"/>
      <c r="I186" s="10"/>
      <c r="J186" s="10"/>
      <c r="K186" s="10"/>
      <c r="L186" s="10"/>
      <c r="M186" s="10"/>
      <c r="N186" s="82"/>
      <c r="O186" s="10"/>
      <c r="P186" s="10"/>
      <c r="Q186" s="10"/>
      <c r="R186" s="10"/>
      <c r="S186" s="31"/>
      <c r="T186" s="31"/>
      <c r="U186" s="31"/>
    </row>
    <row r="187" spans="1:21" ht="19.5" customHeight="1" x14ac:dyDescent="0.2">
      <c r="A187" s="31"/>
      <c r="B187" s="10"/>
      <c r="C187" s="10"/>
      <c r="D187" s="10"/>
      <c r="E187" s="31"/>
      <c r="F187" s="82"/>
      <c r="G187" s="31"/>
      <c r="H187" s="82"/>
      <c r="I187" s="10"/>
      <c r="J187" s="10"/>
      <c r="K187" s="10"/>
      <c r="L187" s="10"/>
      <c r="M187" s="10"/>
      <c r="N187" s="82"/>
      <c r="O187" s="10"/>
      <c r="P187" s="10"/>
      <c r="Q187" s="10"/>
      <c r="R187" s="10"/>
      <c r="S187" s="31"/>
      <c r="T187" s="31"/>
      <c r="U187" s="31"/>
    </row>
    <row r="188" spans="1:21" ht="19.5" customHeight="1" x14ac:dyDescent="0.2">
      <c r="A188" s="31"/>
      <c r="B188" s="10"/>
      <c r="C188" s="10"/>
      <c r="D188" s="10"/>
      <c r="E188" s="31"/>
      <c r="F188" s="82"/>
      <c r="G188" s="31"/>
      <c r="H188" s="82"/>
      <c r="I188" s="10"/>
      <c r="J188" s="10"/>
      <c r="K188" s="10"/>
      <c r="L188" s="10"/>
      <c r="M188" s="10"/>
      <c r="N188" s="82"/>
      <c r="O188" s="10"/>
      <c r="P188" s="10"/>
      <c r="Q188" s="10"/>
      <c r="R188" s="10"/>
      <c r="S188" s="31"/>
      <c r="T188" s="31"/>
      <c r="U188" s="31"/>
    </row>
    <row r="189" spans="1:21" ht="19.5" customHeight="1" x14ac:dyDescent="0.2">
      <c r="A189" s="31"/>
      <c r="B189" s="10"/>
      <c r="C189" s="10"/>
      <c r="D189" s="10"/>
      <c r="E189" s="31"/>
      <c r="F189" s="82"/>
      <c r="G189" s="31"/>
      <c r="H189" s="82"/>
      <c r="I189" s="10"/>
      <c r="J189" s="10"/>
      <c r="K189" s="10"/>
      <c r="L189" s="10"/>
      <c r="M189" s="10"/>
      <c r="N189" s="82"/>
      <c r="O189" s="10"/>
      <c r="P189" s="10"/>
      <c r="Q189" s="10"/>
      <c r="R189" s="10"/>
      <c r="S189" s="31"/>
      <c r="T189" s="31"/>
      <c r="U189" s="31"/>
    </row>
    <row r="190" spans="1:21" ht="19.5" customHeight="1" x14ac:dyDescent="0.2">
      <c r="A190" s="31"/>
      <c r="B190" s="10"/>
      <c r="C190" s="10"/>
      <c r="D190" s="10"/>
      <c r="E190" s="31"/>
      <c r="F190" s="82"/>
      <c r="G190" s="31"/>
      <c r="H190" s="82"/>
      <c r="I190" s="10"/>
      <c r="J190" s="10"/>
      <c r="K190" s="10"/>
      <c r="L190" s="10"/>
      <c r="M190" s="10"/>
      <c r="N190" s="82"/>
      <c r="O190" s="10"/>
      <c r="P190" s="10"/>
      <c r="Q190" s="10"/>
      <c r="R190" s="10"/>
      <c r="S190" s="31"/>
      <c r="T190" s="31"/>
      <c r="U190" s="31"/>
    </row>
    <row r="191" spans="1:21" ht="19.5" customHeight="1" x14ac:dyDescent="0.2">
      <c r="A191" s="31"/>
      <c r="B191" s="10"/>
      <c r="C191" s="10"/>
      <c r="D191" s="10"/>
      <c r="E191" s="31"/>
      <c r="F191" s="82"/>
      <c r="G191" s="31"/>
      <c r="H191" s="82"/>
      <c r="I191" s="10"/>
      <c r="J191" s="10"/>
      <c r="K191" s="10"/>
      <c r="L191" s="10"/>
      <c r="M191" s="10"/>
      <c r="N191" s="82"/>
      <c r="O191" s="10"/>
      <c r="P191" s="10"/>
      <c r="Q191" s="10"/>
      <c r="R191" s="10"/>
      <c r="S191" s="31"/>
      <c r="T191" s="31"/>
      <c r="U191" s="31"/>
    </row>
    <row r="192" spans="1:21" ht="19.5" customHeight="1" x14ac:dyDescent="0.2">
      <c r="A192" s="31"/>
      <c r="B192" s="10"/>
      <c r="C192" s="10"/>
      <c r="D192" s="10"/>
      <c r="E192" s="31"/>
      <c r="F192" s="82"/>
      <c r="G192" s="31"/>
      <c r="H192" s="82"/>
      <c r="I192" s="10"/>
      <c r="J192" s="10"/>
      <c r="K192" s="10"/>
      <c r="L192" s="10"/>
      <c r="M192" s="10"/>
      <c r="N192" s="82"/>
      <c r="O192" s="10"/>
      <c r="P192" s="10"/>
      <c r="Q192" s="10"/>
      <c r="R192" s="10"/>
      <c r="S192" s="31"/>
      <c r="T192" s="31"/>
      <c r="U192" s="31"/>
    </row>
    <row r="193" spans="1:21" ht="19.5" customHeight="1" x14ac:dyDescent="0.2">
      <c r="A193" s="31"/>
      <c r="B193" s="10"/>
      <c r="C193" s="10"/>
      <c r="D193" s="10"/>
      <c r="E193" s="31"/>
      <c r="F193" s="82"/>
      <c r="G193" s="31"/>
      <c r="H193" s="82"/>
      <c r="I193" s="10"/>
      <c r="J193" s="10"/>
      <c r="K193" s="10"/>
      <c r="L193" s="10"/>
      <c r="M193" s="10"/>
      <c r="N193" s="82"/>
      <c r="O193" s="10"/>
      <c r="P193" s="10"/>
      <c r="Q193" s="10"/>
      <c r="R193" s="10"/>
      <c r="S193" s="31"/>
      <c r="T193" s="31"/>
      <c r="U193" s="31"/>
    </row>
    <row r="194" spans="1:21" ht="19.5" customHeight="1" x14ac:dyDescent="0.2">
      <c r="A194" s="31"/>
      <c r="B194" s="10"/>
      <c r="C194" s="10"/>
      <c r="D194" s="10"/>
      <c r="E194" s="31"/>
      <c r="F194" s="82"/>
      <c r="G194" s="31"/>
      <c r="H194" s="82"/>
      <c r="I194" s="10"/>
      <c r="J194" s="10"/>
      <c r="K194" s="10"/>
      <c r="L194" s="10"/>
      <c r="M194" s="10"/>
      <c r="N194" s="82"/>
      <c r="O194" s="10"/>
      <c r="P194" s="10"/>
      <c r="Q194" s="10"/>
      <c r="R194" s="10"/>
      <c r="S194" s="31"/>
      <c r="T194" s="31"/>
      <c r="U194" s="31"/>
    </row>
    <row r="195" spans="1:21" ht="19.5" customHeight="1" x14ac:dyDescent="0.2">
      <c r="A195" s="31"/>
      <c r="B195" s="10"/>
      <c r="C195" s="10"/>
      <c r="D195" s="10"/>
      <c r="E195" s="31"/>
      <c r="F195" s="82"/>
      <c r="G195" s="31"/>
      <c r="H195" s="82"/>
      <c r="I195" s="10"/>
      <c r="J195" s="10"/>
      <c r="K195" s="10"/>
      <c r="L195" s="10"/>
      <c r="M195" s="10"/>
      <c r="N195" s="82"/>
      <c r="O195" s="10"/>
      <c r="P195" s="10"/>
      <c r="Q195" s="10"/>
      <c r="R195" s="10"/>
      <c r="S195" s="31"/>
      <c r="T195" s="31"/>
      <c r="U195" s="31"/>
    </row>
    <row r="196" spans="1:21" ht="19.5" customHeight="1" x14ac:dyDescent="0.2">
      <c r="A196" s="31"/>
      <c r="B196" s="10"/>
      <c r="C196" s="10"/>
      <c r="D196" s="10"/>
      <c r="E196" s="31"/>
      <c r="F196" s="82"/>
      <c r="G196" s="31"/>
      <c r="H196" s="82"/>
      <c r="I196" s="10"/>
      <c r="J196" s="10"/>
      <c r="K196" s="10"/>
      <c r="L196" s="10"/>
      <c r="M196" s="10"/>
      <c r="N196" s="82"/>
      <c r="O196" s="10"/>
      <c r="P196" s="10"/>
      <c r="Q196" s="10"/>
      <c r="R196" s="10"/>
      <c r="S196" s="31"/>
      <c r="T196" s="31"/>
      <c r="U196" s="31"/>
    </row>
    <row r="197" spans="1:21" ht="19.5" customHeight="1" x14ac:dyDescent="0.2">
      <c r="A197" s="31"/>
      <c r="B197" s="10"/>
      <c r="C197" s="10"/>
      <c r="D197" s="10"/>
      <c r="E197" s="31"/>
      <c r="F197" s="82"/>
      <c r="G197" s="31"/>
      <c r="H197" s="82"/>
      <c r="I197" s="10"/>
      <c r="J197" s="10"/>
      <c r="K197" s="10"/>
      <c r="L197" s="10"/>
      <c r="M197" s="10"/>
      <c r="N197" s="82"/>
      <c r="O197" s="10"/>
      <c r="P197" s="10"/>
      <c r="Q197" s="10"/>
      <c r="R197" s="10"/>
      <c r="S197" s="31"/>
      <c r="T197" s="31"/>
      <c r="U197" s="31"/>
    </row>
    <row r="198" spans="1:21" ht="19.5" customHeight="1" x14ac:dyDescent="0.2">
      <c r="A198" s="31"/>
      <c r="B198" s="10"/>
      <c r="C198" s="10"/>
      <c r="D198" s="10"/>
      <c r="E198" s="31"/>
      <c r="F198" s="82"/>
      <c r="G198" s="31"/>
      <c r="H198" s="82"/>
      <c r="I198" s="10"/>
      <c r="J198" s="10"/>
      <c r="K198" s="10"/>
      <c r="L198" s="10"/>
      <c r="M198" s="10"/>
      <c r="N198" s="82"/>
      <c r="O198" s="10"/>
      <c r="P198" s="10"/>
      <c r="Q198" s="10"/>
      <c r="R198" s="10"/>
      <c r="S198" s="31"/>
      <c r="T198" s="31"/>
      <c r="U198" s="31"/>
    </row>
    <row r="199" spans="1:21" ht="19.5" customHeight="1" x14ac:dyDescent="0.2">
      <c r="A199" s="31"/>
      <c r="B199" s="10"/>
      <c r="C199" s="10"/>
      <c r="D199" s="10"/>
      <c r="E199" s="31"/>
      <c r="F199" s="82"/>
      <c r="G199" s="31"/>
      <c r="H199" s="82"/>
      <c r="I199" s="10"/>
      <c r="J199" s="10"/>
      <c r="K199" s="10"/>
      <c r="L199" s="10"/>
      <c r="M199" s="10"/>
      <c r="N199" s="82"/>
      <c r="O199" s="10"/>
      <c r="P199" s="10"/>
      <c r="Q199" s="10"/>
      <c r="R199" s="10"/>
      <c r="S199" s="31"/>
      <c r="T199" s="31"/>
      <c r="U199" s="31"/>
    </row>
    <row r="200" spans="1:21" ht="19.5" customHeight="1" x14ac:dyDescent="0.2">
      <c r="A200" s="31"/>
      <c r="B200" s="10"/>
      <c r="C200" s="10"/>
      <c r="D200" s="10"/>
      <c r="E200" s="31"/>
      <c r="F200" s="82"/>
      <c r="G200" s="31"/>
      <c r="H200" s="82"/>
      <c r="I200" s="10"/>
      <c r="J200" s="10"/>
      <c r="K200" s="10"/>
      <c r="L200" s="10"/>
      <c r="M200" s="10"/>
      <c r="N200" s="82"/>
      <c r="O200" s="10"/>
      <c r="P200" s="10"/>
      <c r="Q200" s="10"/>
      <c r="R200" s="10"/>
      <c r="S200" s="31"/>
      <c r="T200" s="31"/>
      <c r="U200" s="31"/>
    </row>
    <row r="201" spans="1:21" ht="19.5" customHeight="1" x14ac:dyDescent="0.2">
      <c r="A201" s="31"/>
      <c r="B201" s="10"/>
      <c r="C201" s="10"/>
      <c r="D201" s="10"/>
      <c r="E201" s="31"/>
      <c r="F201" s="82"/>
      <c r="G201" s="31"/>
      <c r="H201" s="82"/>
      <c r="I201" s="10"/>
      <c r="J201" s="10"/>
      <c r="K201" s="10"/>
      <c r="L201" s="10"/>
      <c r="M201" s="10"/>
      <c r="N201" s="82"/>
      <c r="O201" s="10"/>
      <c r="P201" s="10"/>
      <c r="Q201" s="10"/>
      <c r="R201" s="10"/>
      <c r="S201" s="31"/>
      <c r="T201" s="31"/>
      <c r="U201" s="31"/>
    </row>
    <row r="202" spans="1:21" ht="19.5" customHeight="1" x14ac:dyDescent="0.2">
      <c r="A202" s="31"/>
      <c r="B202" s="10"/>
      <c r="C202" s="10"/>
      <c r="D202" s="10"/>
      <c r="E202" s="31"/>
      <c r="F202" s="82"/>
      <c r="G202" s="31"/>
      <c r="H202" s="82"/>
      <c r="I202" s="10"/>
      <c r="J202" s="10"/>
      <c r="K202" s="10"/>
      <c r="L202" s="10"/>
      <c r="M202" s="10"/>
      <c r="N202" s="82"/>
      <c r="O202" s="10"/>
      <c r="P202" s="10"/>
      <c r="Q202" s="10"/>
      <c r="R202" s="10"/>
      <c r="S202" s="31"/>
      <c r="T202" s="31"/>
      <c r="U202" s="31"/>
    </row>
    <row r="203" spans="1:21" ht="19.5" customHeight="1" x14ac:dyDescent="0.2">
      <c r="A203" s="31"/>
      <c r="B203" s="10"/>
      <c r="C203" s="10"/>
      <c r="D203" s="10"/>
      <c r="E203" s="31"/>
      <c r="F203" s="82"/>
      <c r="G203" s="31"/>
      <c r="H203" s="82"/>
      <c r="I203" s="10"/>
      <c r="J203" s="10"/>
      <c r="K203" s="10"/>
      <c r="L203" s="10"/>
      <c r="M203" s="10"/>
      <c r="N203" s="82"/>
      <c r="O203" s="10"/>
      <c r="P203" s="10"/>
      <c r="Q203" s="10"/>
      <c r="R203" s="10"/>
      <c r="S203" s="31"/>
      <c r="T203" s="31"/>
      <c r="U203" s="31"/>
    </row>
    <row r="204" spans="1:21" ht="19.5" customHeight="1" x14ac:dyDescent="0.2">
      <c r="A204" s="31"/>
      <c r="B204" s="10"/>
      <c r="C204" s="10"/>
      <c r="D204" s="10"/>
      <c r="E204" s="31"/>
      <c r="F204" s="82"/>
      <c r="G204" s="31"/>
      <c r="H204" s="82"/>
      <c r="I204" s="10"/>
      <c r="J204" s="10"/>
      <c r="K204" s="10"/>
      <c r="L204" s="10"/>
      <c r="M204" s="10"/>
      <c r="N204" s="82"/>
      <c r="O204" s="10"/>
      <c r="P204" s="10"/>
      <c r="Q204" s="10"/>
      <c r="R204" s="10"/>
      <c r="S204" s="31"/>
      <c r="T204" s="31"/>
      <c r="U204" s="31"/>
    </row>
    <row r="205" spans="1:21" ht="19.5" customHeight="1" x14ac:dyDescent="0.2">
      <c r="A205" s="31"/>
      <c r="B205" s="10"/>
      <c r="C205" s="10"/>
      <c r="D205" s="10"/>
      <c r="E205" s="31"/>
      <c r="F205" s="82"/>
      <c r="G205" s="31"/>
      <c r="H205" s="82"/>
      <c r="I205" s="10"/>
      <c r="J205" s="10"/>
      <c r="K205" s="10"/>
      <c r="L205" s="10"/>
      <c r="M205" s="10"/>
      <c r="N205" s="82"/>
      <c r="O205" s="10"/>
      <c r="P205" s="10"/>
      <c r="Q205" s="10"/>
      <c r="R205" s="10"/>
      <c r="S205" s="31"/>
      <c r="T205" s="31"/>
      <c r="U205" s="31"/>
    </row>
    <row r="206" spans="1:21" ht="19.5" customHeight="1" x14ac:dyDescent="0.2">
      <c r="A206" s="31"/>
      <c r="B206" s="10"/>
      <c r="C206" s="10"/>
      <c r="D206" s="10"/>
      <c r="E206" s="31"/>
      <c r="F206" s="82"/>
      <c r="G206" s="31"/>
      <c r="H206" s="82"/>
      <c r="I206" s="10"/>
      <c r="J206" s="10"/>
      <c r="K206" s="10"/>
      <c r="L206" s="10"/>
      <c r="M206" s="10"/>
      <c r="N206" s="82"/>
      <c r="O206" s="10"/>
      <c r="P206" s="10"/>
      <c r="Q206" s="10"/>
      <c r="R206" s="10"/>
      <c r="S206" s="31"/>
      <c r="T206" s="31"/>
      <c r="U206" s="31"/>
    </row>
    <row r="207" spans="1:21" ht="19.5" customHeight="1" x14ac:dyDescent="0.2">
      <c r="A207" s="31"/>
      <c r="B207" s="10"/>
      <c r="C207" s="10"/>
      <c r="D207" s="10"/>
      <c r="E207" s="31"/>
      <c r="F207" s="82"/>
      <c r="G207" s="31"/>
      <c r="H207" s="82"/>
      <c r="I207" s="10"/>
      <c r="J207" s="10"/>
      <c r="K207" s="10"/>
      <c r="L207" s="10"/>
      <c r="M207" s="10"/>
      <c r="N207" s="82"/>
      <c r="O207" s="10"/>
      <c r="P207" s="10"/>
      <c r="Q207" s="10"/>
      <c r="R207" s="10"/>
      <c r="S207" s="31"/>
      <c r="T207" s="31"/>
      <c r="U207" s="31"/>
    </row>
    <row r="208" spans="1:21" ht="19.5" customHeight="1" x14ac:dyDescent="0.2">
      <c r="A208" s="31"/>
      <c r="B208" s="10"/>
      <c r="C208" s="10"/>
      <c r="D208" s="10"/>
      <c r="E208" s="31"/>
      <c r="F208" s="82"/>
      <c r="G208" s="31"/>
      <c r="H208" s="82"/>
      <c r="I208" s="10"/>
      <c r="J208" s="10"/>
      <c r="K208" s="10"/>
      <c r="L208" s="10"/>
      <c r="M208" s="10"/>
      <c r="N208" s="82"/>
      <c r="O208" s="10"/>
      <c r="P208" s="10"/>
      <c r="Q208" s="10"/>
      <c r="R208" s="10"/>
      <c r="S208" s="31"/>
      <c r="T208" s="31"/>
      <c r="U208" s="31"/>
    </row>
    <row r="209" spans="1:21" ht="19.5" customHeight="1" x14ac:dyDescent="0.2">
      <c r="A209" s="31"/>
      <c r="B209" s="10"/>
      <c r="C209" s="10"/>
      <c r="D209" s="10"/>
      <c r="E209" s="31"/>
      <c r="F209" s="82"/>
      <c r="G209" s="31"/>
      <c r="H209" s="82"/>
      <c r="I209" s="10"/>
      <c r="J209" s="10"/>
      <c r="K209" s="10"/>
      <c r="L209" s="10"/>
      <c r="M209" s="10"/>
      <c r="N209" s="82"/>
      <c r="O209" s="10"/>
      <c r="P209" s="10"/>
      <c r="Q209" s="10"/>
      <c r="R209" s="10"/>
      <c r="S209" s="31"/>
      <c r="T209" s="31"/>
      <c r="U209" s="31"/>
    </row>
    <row r="210" spans="1:21" ht="19.5" customHeight="1" x14ac:dyDescent="0.2">
      <c r="A210" s="31"/>
      <c r="B210" s="10"/>
      <c r="C210" s="10"/>
      <c r="D210" s="10"/>
      <c r="E210" s="31"/>
      <c r="F210" s="82"/>
      <c r="G210" s="31"/>
      <c r="H210" s="82"/>
      <c r="I210" s="10"/>
      <c r="J210" s="10"/>
      <c r="K210" s="10"/>
      <c r="L210" s="10"/>
      <c r="M210" s="10"/>
      <c r="N210" s="82"/>
      <c r="O210" s="10"/>
      <c r="P210" s="10"/>
      <c r="Q210" s="10"/>
      <c r="R210" s="10"/>
      <c r="S210" s="31"/>
      <c r="T210" s="31"/>
      <c r="U210" s="31"/>
    </row>
    <row r="211" spans="1:21" ht="19.5" customHeight="1" x14ac:dyDescent="0.2">
      <c r="A211" s="31"/>
      <c r="B211" s="10"/>
      <c r="C211" s="10"/>
      <c r="D211" s="10"/>
      <c r="E211" s="31"/>
      <c r="F211" s="82"/>
      <c r="G211" s="31"/>
      <c r="H211" s="82"/>
      <c r="I211" s="10"/>
      <c r="J211" s="10"/>
      <c r="K211" s="10"/>
      <c r="L211" s="10"/>
      <c r="M211" s="10"/>
      <c r="N211" s="82"/>
      <c r="O211" s="10"/>
      <c r="P211" s="10"/>
      <c r="Q211" s="10"/>
      <c r="R211" s="10"/>
      <c r="S211" s="31"/>
      <c r="T211" s="31"/>
      <c r="U211" s="31"/>
    </row>
    <row r="212" spans="1:21" ht="19.5" customHeight="1" x14ac:dyDescent="0.2">
      <c r="A212" s="31"/>
      <c r="B212" s="10"/>
      <c r="C212" s="10"/>
      <c r="D212" s="10"/>
      <c r="E212" s="31"/>
      <c r="F212" s="82"/>
      <c r="G212" s="31"/>
      <c r="H212" s="82"/>
      <c r="I212" s="10"/>
      <c r="J212" s="10"/>
      <c r="K212" s="10"/>
      <c r="L212" s="10"/>
      <c r="M212" s="10"/>
      <c r="N212" s="82"/>
      <c r="O212" s="10"/>
      <c r="P212" s="10"/>
      <c r="Q212" s="10"/>
      <c r="R212" s="10"/>
      <c r="S212" s="31"/>
      <c r="T212" s="31"/>
      <c r="U212" s="31"/>
    </row>
    <row r="213" spans="1:21" ht="19.5" customHeight="1" x14ac:dyDescent="0.2">
      <c r="A213" s="31"/>
      <c r="B213" s="10"/>
      <c r="C213" s="10"/>
      <c r="D213" s="10"/>
      <c r="E213" s="31"/>
      <c r="F213" s="82"/>
      <c r="G213" s="31"/>
      <c r="H213" s="82"/>
      <c r="I213" s="10"/>
      <c r="J213" s="10"/>
      <c r="K213" s="10"/>
      <c r="L213" s="10"/>
      <c r="M213" s="10"/>
      <c r="N213" s="82"/>
      <c r="O213" s="10"/>
      <c r="P213" s="10"/>
      <c r="Q213" s="10"/>
      <c r="R213" s="10"/>
      <c r="S213" s="31"/>
      <c r="T213" s="31"/>
      <c r="U213" s="31"/>
    </row>
    <row r="214" spans="1:21" ht="19.5" customHeight="1" x14ac:dyDescent="0.2">
      <c r="A214" s="31"/>
      <c r="B214" s="10"/>
      <c r="C214" s="10"/>
      <c r="D214" s="10"/>
      <c r="E214" s="31"/>
      <c r="F214" s="82"/>
      <c r="G214" s="31"/>
      <c r="H214" s="82"/>
      <c r="I214" s="10"/>
      <c r="J214" s="10"/>
      <c r="K214" s="10"/>
      <c r="L214" s="10"/>
      <c r="M214" s="10"/>
      <c r="N214" s="82"/>
      <c r="O214" s="10"/>
      <c r="P214" s="10"/>
      <c r="Q214" s="10"/>
      <c r="R214" s="10"/>
      <c r="S214" s="31"/>
      <c r="T214" s="31"/>
      <c r="U214" s="31"/>
    </row>
    <row r="215" spans="1:21" ht="19.5" customHeight="1" x14ac:dyDescent="0.2">
      <c r="A215" s="31"/>
      <c r="B215" s="10"/>
      <c r="C215" s="10"/>
      <c r="D215" s="10"/>
      <c r="E215" s="31"/>
      <c r="F215" s="82"/>
      <c r="G215" s="31"/>
      <c r="H215" s="82"/>
      <c r="I215" s="10"/>
      <c r="J215" s="10"/>
      <c r="K215" s="10"/>
      <c r="L215" s="10"/>
      <c r="M215" s="10"/>
      <c r="N215" s="82"/>
      <c r="O215" s="10"/>
      <c r="P215" s="10"/>
      <c r="Q215" s="10"/>
      <c r="R215" s="10"/>
      <c r="S215" s="31"/>
      <c r="T215" s="31"/>
      <c r="U215" s="31"/>
    </row>
    <row r="216" spans="1:21" ht="19.5" customHeight="1" x14ac:dyDescent="0.2">
      <c r="A216" s="31"/>
      <c r="B216" s="10"/>
      <c r="C216" s="10"/>
      <c r="D216" s="10"/>
      <c r="E216" s="31"/>
      <c r="F216" s="82"/>
      <c r="G216" s="31"/>
      <c r="H216" s="82"/>
      <c r="I216" s="10"/>
      <c r="J216" s="10"/>
      <c r="K216" s="10"/>
      <c r="L216" s="10"/>
      <c r="M216" s="10"/>
      <c r="N216" s="82"/>
      <c r="O216" s="10"/>
      <c r="P216" s="10"/>
      <c r="Q216" s="10"/>
      <c r="R216" s="10"/>
      <c r="S216" s="31"/>
      <c r="T216" s="31"/>
      <c r="U216" s="31"/>
    </row>
    <row r="217" spans="1:21" ht="19.5" customHeight="1" x14ac:dyDescent="0.2">
      <c r="A217" s="31"/>
      <c r="B217" s="10"/>
      <c r="C217" s="10"/>
      <c r="D217" s="10"/>
      <c r="E217" s="31"/>
      <c r="F217" s="82"/>
      <c r="G217" s="31"/>
      <c r="H217" s="82"/>
      <c r="I217" s="10"/>
      <c r="J217" s="10"/>
      <c r="K217" s="10"/>
      <c r="L217" s="10"/>
      <c r="M217" s="10"/>
      <c r="N217" s="82"/>
      <c r="O217" s="10"/>
      <c r="P217" s="10"/>
      <c r="Q217" s="10"/>
      <c r="R217" s="10"/>
      <c r="S217" s="31"/>
      <c r="T217" s="31"/>
      <c r="U217" s="31"/>
    </row>
    <row r="218" spans="1:21" ht="19.5" customHeight="1" x14ac:dyDescent="0.2">
      <c r="A218" s="31"/>
      <c r="B218" s="10"/>
      <c r="C218" s="10"/>
      <c r="D218" s="10"/>
      <c r="E218" s="31"/>
      <c r="F218" s="82"/>
      <c r="G218" s="31"/>
      <c r="H218" s="82"/>
      <c r="I218" s="10"/>
      <c r="J218" s="10"/>
      <c r="K218" s="10"/>
      <c r="L218" s="10"/>
      <c r="M218" s="10"/>
      <c r="N218" s="82"/>
      <c r="O218" s="10"/>
      <c r="P218" s="10"/>
      <c r="Q218" s="10"/>
      <c r="R218" s="10"/>
      <c r="S218" s="31"/>
      <c r="T218" s="31"/>
      <c r="U218" s="31"/>
    </row>
    <row r="219" spans="1:21" ht="19.5" customHeight="1" x14ac:dyDescent="0.2">
      <c r="A219" s="31"/>
      <c r="B219" s="10"/>
      <c r="C219" s="10"/>
      <c r="D219" s="10"/>
      <c r="E219" s="31"/>
      <c r="F219" s="82"/>
      <c r="G219" s="31"/>
      <c r="H219" s="82"/>
      <c r="I219" s="10"/>
      <c r="J219" s="10"/>
      <c r="K219" s="10"/>
      <c r="L219" s="10"/>
      <c r="M219" s="10"/>
      <c r="N219" s="82"/>
      <c r="O219" s="10"/>
      <c r="P219" s="10"/>
      <c r="Q219" s="10"/>
      <c r="R219" s="10"/>
      <c r="S219" s="31"/>
      <c r="T219" s="31"/>
      <c r="U219" s="31"/>
    </row>
    <row r="220" spans="1:21" ht="19.5" customHeight="1" x14ac:dyDescent="0.2">
      <c r="A220" s="31"/>
      <c r="B220" s="10"/>
      <c r="C220" s="10"/>
      <c r="D220" s="10"/>
      <c r="E220" s="31"/>
      <c r="F220" s="82"/>
      <c r="G220" s="31"/>
      <c r="H220" s="82"/>
      <c r="I220" s="10"/>
      <c r="J220" s="10"/>
      <c r="K220" s="10"/>
      <c r="L220" s="10"/>
      <c r="M220" s="10"/>
      <c r="N220" s="82"/>
      <c r="O220" s="10"/>
      <c r="P220" s="10"/>
      <c r="Q220" s="10"/>
      <c r="R220" s="10"/>
      <c r="S220" s="31"/>
      <c r="T220" s="31"/>
      <c r="U220" s="31"/>
    </row>
    <row r="221" spans="1:21" ht="19.5" customHeight="1" x14ac:dyDescent="0.2">
      <c r="A221" s="31"/>
      <c r="B221" s="10"/>
      <c r="C221" s="10"/>
      <c r="D221" s="10"/>
      <c r="E221" s="31"/>
      <c r="F221" s="82"/>
      <c r="G221" s="31"/>
      <c r="H221" s="82"/>
      <c r="I221" s="10"/>
      <c r="J221" s="10"/>
      <c r="K221" s="10"/>
      <c r="L221" s="10"/>
      <c r="M221" s="10"/>
      <c r="N221" s="82"/>
      <c r="O221" s="10"/>
      <c r="P221" s="10"/>
      <c r="Q221" s="10"/>
      <c r="R221" s="10"/>
      <c r="S221" s="31"/>
      <c r="T221" s="31"/>
      <c r="U221" s="31"/>
    </row>
    <row r="222" spans="1:21" ht="19.5" customHeight="1" x14ac:dyDescent="0.2">
      <c r="A222" s="31"/>
      <c r="B222" s="10"/>
      <c r="C222" s="10"/>
      <c r="D222" s="10"/>
      <c r="E222" s="31"/>
      <c r="F222" s="82"/>
      <c r="G222" s="31"/>
      <c r="H222" s="82"/>
      <c r="I222" s="10"/>
      <c r="J222" s="10"/>
      <c r="K222" s="10"/>
      <c r="L222" s="10"/>
      <c r="M222" s="10"/>
      <c r="N222" s="82"/>
      <c r="O222" s="10"/>
      <c r="P222" s="10"/>
      <c r="Q222" s="10"/>
      <c r="R222" s="10"/>
      <c r="S222" s="31"/>
      <c r="T222" s="31"/>
      <c r="U222" s="31"/>
    </row>
    <row r="223" spans="1:21" ht="19.5" customHeight="1" x14ac:dyDescent="0.2">
      <c r="A223" s="31"/>
      <c r="B223" s="10"/>
      <c r="C223" s="10"/>
      <c r="D223" s="10"/>
      <c r="E223" s="31"/>
      <c r="F223" s="82"/>
      <c r="G223" s="31"/>
      <c r="H223" s="82"/>
      <c r="I223" s="10"/>
      <c r="J223" s="10"/>
      <c r="K223" s="10"/>
      <c r="L223" s="10"/>
      <c r="M223" s="10"/>
      <c r="N223" s="82"/>
      <c r="O223" s="10"/>
      <c r="P223" s="10"/>
      <c r="Q223" s="10"/>
      <c r="R223" s="10"/>
      <c r="S223" s="31"/>
      <c r="T223" s="31"/>
      <c r="U223" s="31"/>
    </row>
    <row r="224" spans="1:21" ht="19.5" customHeight="1" x14ac:dyDescent="0.2">
      <c r="A224" s="31"/>
      <c r="B224" s="10"/>
      <c r="C224" s="10"/>
      <c r="D224" s="10"/>
      <c r="E224" s="31"/>
      <c r="F224" s="82"/>
      <c r="G224" s="31"/>
      <c r="H224" s="82"/>
      <c r="I224" s="10"/>
      <c r="J224" s="10"/>
      <c r="K224" s="10"/>
      <c r="L224" s="10"/>
      <c r="M224" s="10"/>
      <c r="N224" s="82"/>
      <c r="O224" s="10"/>
      <c r="P224" s="10"/>
      <c r="Q224" s="10"/>
      <c r="R224" s="10"/>
      <c r="S224" s="31"/>
      <c r="T224" s="31"/>
      <c r="U224" s="31"/>
    </row>
    <row r="225" spans="1:21" ht="19.5" customHeight="1" x14ac:dyDescent="0.2">
      <c r="A225" s="31"/>
      <c r="B225" s="10"/>
      <c r="C225" s="10"/>
      <c r="D225" s="10"/>
      <c r="E225" s="31"/>
      <c r="F225" s="82"/>
      <c r="G225" s="31"/>
      <c r="H225" s="82"/>
      <c r="I225" s="10"/>
      <c r="J225" s="10"/>
      <c r="K225" s="10"/>
      <c r="L225" s="10"/>
      <c r="M225" s="10"/>
      <c r="N225" s="82"/>
      <c r="O225" s="10"/>
      <c r="P225" s="10"/>
      <c r="Q225" s="10"/>
      <c r="R225" s="10"/>
      <c r="S225" s="31"/>
      <c r="T225" s="31"/>
      <c r="U225" s="31"/>
    </row>
    <row r="226" spans="1:21" ht="19.5" customHeight="1" x14ac:dyDescent="0.2">
      <c r="A226" s="31"/>
      <c r="B226" s="10"/>
      <c r="C226" s="10"/>
      <c r="D226" s="10"/>
      <c r="E226" s="31"/>
      <c r="F226" s="82"/>
      <c r="G226" s="31"/>
      <c r="H226" s="82"/>
      <c r="I226" s="10"/>
      <c r="J226" s="10"/>
      <c r="K226" s="10"/>
      <c r="L226" s="10"/>
      <c r="M226" s="10"/>
      <c r="N226" s="82"/>
      <c r="O226" s="10"/>
      <c r="P226" s="10"/>
      <c r="Q226" s="10"/>
      <c r="R226" s="10"/>
      <c r="S226" s="31"/>
      <c r="T226" s="31"/>
      <c r="U226" s="31"/>
    </row>
    <row r="227" spans="1:21" ht="19.5" customHeight="1" x14ac:dyDescent="0.2">
      <c r="A227" s="31"/>
      <c r="B227" s="10"/>
      <c r="C227" s="10"/>
      <c r="D227" s="10"/>
      <c r="E227" s="31"/>
      <c r="F227" s="82"/>
      <c r="G227" s="31"/>
      <c r="H227" s="82"/>
      <c r="I227" s="10"/>
      <c r="J227" s="10"/>
      <c r="K227" s="10"/>
      <c r="L227" s="10"/>
      <c r="M227" s="10"/>
      <c r="N227" s="82"/>
      <c r="O227" s="10"/>
      <c r="P227" s="10"/>
      <c r="Q227" s="10"/>
      <c r="R227" s="10"/>
      <c r="S227" s="31"/>
      <c r="T227" s="31"/>
      <c r="U227" s="31"/>
    </row>
    <row r="228" spans="1:21" ht="19.5" customHeight="1" x14ac:dyDescent="0.2">
      <c r="A228" s="31"/>
      <c r="B228" s="10"/>
      <c r="C228" s="10"/>
      <c r="D228" s="10"/>
      <c r="E228" s="31"/>
      <c r="F228" s="82"/>
      <c r="G228" s="31"/>
      <c r="H228" s="82"/>
      <c r="I228" s="10"/>
      <c r="J228" s="10"/>
      <c r="K228" s="10"/>
      <c r="L228" s="10"/>
      <c r="M228" s="10"/>
      <c r="N228" s="82"/>
      <c r="O228" s="10"/>
      <c r="P228" s="10"/>
      <c r="Q228" s="10"/>
      <c r="R228" s="10"/>
      <c r="S228" s="31"/>
      <c r="T228" s="31"/>
      <c r="U228" s="31"/>
    </row>
    <row r="229" spans="1:21" ht="19.5" customHeight="1" x14ac:dyDescent="0.2">
      <c r="A229" s="31"/>
      <c r="B229" s="10"/>
      <c r="C229" s="10"/>
      <c r="D229" s="10"/>
      <c r="E229" s="31"/>
      <c r="F229" s="82"/>
      <c r="G229" s="31"/>
      <c r="H229" s="82"/>
      <c r="I229" s="10"/>
      <c r="J229" s="10"/>
      <c r="K229" s="10"/>
      <c r="L229" s="10"/>
      <c r="M229" s="10"/>
      <c r="N229" s="82"/>
      <c r="O229" s="10"/>
      <c r="P229" s="10"/>
      <c r="Q229" s="10"/>
      <c r="R229" s="10"/>
      <c r="S229" s="31"/>
      <c r="T229" s="31"/>
      <c r="U229" s="31"/>
    </row>
    <row r="230" spans="1:21" ht="19.5" customHeight="1" x14ac:dyDescent="0.2">
      <c r="A230" s="31"/>
      <c r="B230" s="10"/>
      <c r="C230" s="10"/>
      <c r="D230" s="10"/>
      <c r="E230" s="31"/>
      <c r="F230" s="82"/>
      <c r="G230" s="31"/>
      <c r="H230" s="82"/>
      <c r="I230" s="10"/>
      <c r="J230" s="10"/>
      <c r="K230" s="10"/>
      <c r="L230" s="10"/>
      <c r="M230" s="10"/>
      <c r="N230" s="82"/>
      <c r="O230" s="10"/>
      <c r="P230" s="10"/>
      <c r="Q230" s="10"/>
      <c r="R230" s="10"/>
      <c r="S230" s="31"/>
      <c r="T230" s="31"/>
      <c r="U230" s="31"/>
    </row>
    <row r="231" spans="1:21" ht="19.5" customHeight="1" x14ac:dyDescent="0.2">
      <c r="A231" s="31"/>
      <c r="B231" s="10"/>
      <c r="C231" s="10"/>
      <c r="D231" s="10"/>
      <c r="E231" s="31"/>
      <c r="F231" s="82"/>
      <c r="G231" s="31"/>
      <c r="H231" s="82"/>
      <c r="I231" s="10"/>
      <c r="J231" s="10"/>
      <c r="K231" s="10"/>
      <c r="L231" s="10"/>
      <c r="M231" s="10"/>
      <c r="N231" s="82"/>
      <c r="O231" s="10"/>
      <c r="P231" s="10"/>
      <c r="Q231" s="10"/>
      <c r="R231" s="10"/>
      <c r="S231" s="31"/>
      <c r="T231" s="31"/>
      <c r="U231" s="31"/>
    </row>
    <row r="232" spans="1:21" ht="19.5" customHeight="1" x14ac:dyDescent="0.2">
      <c r="A232" s="31"/>
      <c r="B232" s="10"/>
      <c r="C232" s="10"/>
      <c r="D232" s="10"/>
      <c r="E232" s="31"/>
      <c r="F232" s="82"/>
      <c r="G232" s="31"/>
      <c r="H232" s="82"/>
      <c r="I232" s="10"/>
      <c r="J232" s="10"/>
      <c r="K232" s="10"/>
      <c r="L232" s="10"/>
      <c r="M232" s="10"/>
      <c r="N232" s="82"/>
      <c r="O232" s="10"/>
      <c r="P232" s="10"/>
      <c r="Q232" s="10"/>
      <c r="R232" s="10"/>
      <c r="S232" s="31"/>
      <c r="T232" s="31"/>
      <c r="U232" s="31"/>
    </row>
    <row r="233" spans="1:21" ht="19.5" customHeight="1" x14ac:dyDescent="0.2">
      <c r="A233" s="31"/>
      <c r="B233" s="10"/>
      <c r="C233" s="10"/>
      <c r="D233" s="10"/>
      <c r="E233" s="31"/>
      <c r="F233" s="82"/>
      <c r="G233" s="31"/>
      <c r="H233" s="82"/>
      <c r="I233" s="10"/>
      <c r="J233" s="10"/>
      <c r="K233" s="10"/>
      <c r="L233" s="10"/>
      <c r="M233" s="10"/>
      <c r="N233" s="82"/>
      <c r="O233" s="10"/>
      <c r="P233" s="10"/>
      <c r="Q233" s="10"/>
      <c r="R233" s="10"/>
      <c r="S233" s="31"/>
      <c r="T233" s="31"/>
      <c r="U233" s="31"/>
    </row>
    <row r="234" spans="1:21" ht="19.5" customHeight="1" x14ac:dyDescent="0.2">
      <c r="A234" s="31"/>
      <c r="B234" s="10"/>
      <c r="C234" s="10"/>
      <c r="D234" s="10"/>
      <c r="E234" s="31"/>
      <c r="F234" s="82"/>
      <c r="G234" s="31"/>
      <c r="H234" s="82"/>
      <c r="I234" s="10"/>
      <c r="J234" s="10"/>
      <c r="K234" s="10"/>
      <c r="L234" s="10"/>
      <c r="M234" s="10"/>
      <c r="N234" s="82"/>
      <c r="O234" s="10"/>
      <c r="P234" s="10"/>
      <c r="Q234" s="10"/>
      <c r="R234" s="10"/>
      <c r="S234" s="31"/>
      <c r="T234" s="31"/>
      <c r="U234" s="31"/>
    </row>
    <row r="235" spans="1:21" ht="19.5" customHeight="1" x14ac:dyDescent="0.2">
      <c r="A235" s="31"/>
      <c r="B235" s="10"/>
      <c r="C235" s="10"/>
      <c r="D235" s="10"/>
      <c r="E235" s="31"/>
      <c r="F235" s="82"/>
      <c r="G235" s="31"/>
      <c r="H235" s="82"/>
      <c r="I235" s="10"/>
      <c r="J235" s="10"/>
      <c r="K235" s="10"/>
      <c r="L235" s="10"/>
      <c r="M235" s="10"/>
      <c r="N235" s="82"/>
      <c r="O235" s="10"/>
      <c r="P235" s="10"/>
      <c r="Q235" s="10"/>
      <c r="R235" s="10"/>
      <c r="S235" s="31"/>
      <c r="T235" s="31"/>
      <c r="U235" s="31"/>
    </row>
    <row r="236" spans="1:21" ht="19.5" customHeight="1" x14ac:dyDescent="0.2">
      <c r="A236" s="31"/>
      <c r="B236" s="10"/>
      <c r="C236" s="10"/>
      <c r="D236" s="10"/>
      <c r="E236" s="31"/>
      <c r="F236" s="82"/>
      <c r="G236" s="31"/>
      <c r="H236" s="82"/>
      <c r="I236" s="10"/>
      <c r="J236" s="10"/>
      <c r="K236" s="10"/>
      <c r="L236" s="10"/>
      <c r="M236" s="10"/>
      <c r="N236" s="82"/>
      <c r="O236" s="10"/>
      <c r="P236" s="10"/>
      <c r="Q236" s="10"/>
      <c r="R236" s="10"/>
      <c r="S236" s="31"/>
      <c r="T236" s="31"/>
      <c r="U236" s="31"/>
    </row>
    <row r="237" spans="1:21" ht="19.5" customHeight="1" x14ac:dyDescent="0.2">
      <c r="A237" s="31"/>
      <c r="B237" s="10"/>
      <c r="C237" s="10"/>
      <c r="D237" s="10"/>
      <c r="E237" s="31"/>
      <c r="F237" s="82"/>
      <c r="G237" s="31"/>
      <c r="H237" s="82"/>
      <c r="I237" s="10"/>
      <c r="J237" s="10"/>
      <c r="K237" s="10"/>
      <c r="L237" s="10"/>
      <c r="M237" s="10"/>
      <c r="N237" s="82"/>
      <c r="O237" s="10"/>
      <c r="P237" s="10"/>
      <c r="Q237" s="10"/>
      <c r="R237" s="10"/>
      <c r="S237" s="31"/>
      <c r="T237" s="31"/>
      <c r="U237" s="31"/>
    </row>
    <row r="238" spans="1:21" ht="19.5" customHeight="1" x14ac:dyDescent="0.2">
      <c r="A238" s="31"/>
      <c r="B238" s="10"/>
      <c r="C238" s="10"/>
      <c r="D238" s="10"/>
      <c r="E238" s="31"/>
      <c r="F238" s="82"/>
      <c r="G238" s="31"/>
      <c r="H238" s="82"/>
      <c r="I238" s="10"/>
      <c r="J238" s="10"/>
      <c r="K238" s="10"/>
      <c r="L238" s="10"/>
      <c r="M238" s="10"/>
      <c r="N238" s="82"/>
      <c r="O238" s="10"/>
      <c r="P238" s="10"/>
      <c r="Q238" s="10"/>
      <c r="R238" s="10"/>
      <c r="S238" s="31"/>
      <c r="T238" s="31"/>
      <c r="U238" s="31"/>
    </row>
    <row r="239" spans="1:21" ht="19.5" customHeight="1" x14ac:dyDescent="0.2">
      <c r="A239" s="31"/>
      <c r="B239" s="10"/>
      <c r="C239" s="10"/>
      <c r="D239" s="10"/>
      <c r="E239" s="31"/>
      <c r="F239" s="82"/>
      <c r="G239" s="31"/>
      <c r="H239" s="82"/>
      <c r="I239" s="10"/>
      <c r="J239" s="10"/>
      <c r="K239" s="10"/>
      <c r="L239" s="10"/>
      <c r="M239" s="10"/>
      <c r="N239" s="82"/>
      <c r="O239" s="10"/>
      <c r="P239" s="10"/>
      <c r="Q239" s="10"/>
      <c r="R239" s="10"/>
      <c r="S239" s="31"/>
      <c r="T239" s="31"/>
      <c r="U239" s="31"/>
    </row>
    <row r="240" spans="1:21" ht="19.5" customHeight="1" x14ac:dyDescent="0.2">
      <c r="A240" s="31"/>
      <c r="B240" s="10"/>
      <c r="C240" s="10"/>
      <c r="D240" s="10"/>
      <c r="E240" s="31"/>
      <c r="F240" s="82"/>
      <c r="G240" s="31"/>
      <c r="H240" s="82"/>
      <c r="I240" s="10"/>
      <c r="J240" s="10"/>
      <c r="K240" s="10"/>
      <c r="L240" s="10"/>
      <c r="M240" s="10"/>
      <c r="N240" s="82"/>
      <c r="O240" s="10"/>
      <c r="P240" s="10"/>
      <c r="Q240" s="10"/>
      <c r="R240" s="10"/>
      <c r="S240" s="31"/>
      <c r="T240" s="31"/>
      <c r="U240" s="31"/>
    </row>
    <row r="241" spans="1:21" ht="19.5" customHeight="1" x14ac:dyDescent="0.2">
      <c r="A241" s="31"/>
      <c r="B241" s="10"/>
      <c r="C241" s="10"/>
      <c r="D241" s="10"/>
      <c r="E241" s="31"/>
      <c r="F241" s="82"/>
      <c r="G241" s="31"/>
      <c r="H241" s="82"/>
      <c r="I241" s="10"/>
      <c r="J241" s="10"/>
      <c r="K241" s="10"/>
      <c r="L241" s="10"/>
      <c r="M241" s="10"/>
      <c r="N241" s="82"/>
      <c r="O241" s="10"/>
      <c r="P241" s="10"/>
      <c r="Q241" s="10"/>
      <c r="R241" s="10"/>
      <c r="S241" s="31"/>
      <c r="T241" s="31"/>
      <c r="U241" s="31"/>
    </row>
    <row r="242" spans="1:21" ht="19.5" customHeight="1" x14ac:dyDescent="0.2">
      <c r="A242" s="31"/>
      <c r="B242" s="10"/>
      <c r="C242" s="10"/>
      <c r="D242" s="10"/>
      <c r="E242" s="31"/>
      <c r="F242" s="82"/>
      <c r="G242" s="31"/>
      <c r="H242" s="82"/>
      <c r="I242" s="10"/>
      <c r="J242" s="10"/>
      <c r="K242" s="10"/>
      <c r="L242" s="10"/>
      <c r="M242" s="10"/>
      <c r="N242" s="82"/>
      <c r="O242" s="10"/>
      <c r="P242" s="10"/>
      <c r="Q242" s="10"/>
      <c r="R242" s="10"/>
      <c r="S242" s="31"/>
      <c r="T242" s="31"/>
      <c r="U242" s="31"/>
    </row>
    <row r="243" spans="1:21" ht="19.5" customHeight="1" x14ac:dyDescent="0.2">
      <c r="A243" s="31"/>
      <c r="B243" s="10"/>
      <c r="C243" s="10"/>
      <c r="D243" s="10"/>
      <c r="E243" s="31"/>
      <c r="F243" s="82"/>
      <c r="G243" s="31"/>
      <c r="H243" s="82"/>
      <c r="I243" s="10"/>
      <c r="J243" s="10"/>
      <c r="K243" s="10"/>
      <c r="L243" s="10"/>
      <c r="M243" s="10"/>
      <c r="N243" s="82"/>
      <c r="O243" s="10"/>
      <c r="P243" s="10"/>
      <c r="Q243" s="10"/>
      <c r="R243" s="10"/>
      <c r="S243" s="31"/>
      <c r="T243" s="31"/>
      <c r="U243" s="31"/>
    </row>
    <row r="244" spans="1:21" ht="19.5" customHeight="1" x14ac:dyDescent="0.2">
      <c r="A244" s="31"/>
      <c r="B244" s="10"/>
      <c r="C244" s="10"/>
      <c r="D244" s="10"/>
      <c r="E244" s="31"/>
      <c r="F244" s="82"/>
      <c r="G244" s="31"/>
      <c r="H244" s="82"/>
      <c r="I244" s="10"/>
      <c r="J244" s="10"/>
      <c r="K244" s="10"/>
      <c r="L244" s="10"/>
      <c r="M244" s="10"/>
      <c r="N244" s="82"/>
      <c r="O244" s="10"/>
      <c r="P244" s="10"/>
      <c r="Q244" s="10"/>
      <c r="R244" s="10"/>
      <c r="S244" s="31"/>
      <c r="T244" s="31"/>
      <c r="U244" s="31"/>
    </row>
    <row r="245" spans="1:21" ht="19.5" customHeight="1" x14ac:dyDescent="0.2">
      <c r="A245" s="31"/>
      <c r="B245" s="10"/>
      <c r="C245" s="10"/>
      <c r="D245" s="10"/>
      <c r="E245" s="31"/>
      <c r="F245" s="82"/>
      <c r="G245" s="31"/>
      <c r="H245" s="82"/>
      <c r="I245" s="10"/>
      <c r="J245" s="10"/>
      <c r="K245" s="10"/>
      <c r="L245" s="10"/>
      <c r="M245" s="10"/>
      <c r="N245" s="82"/>
      <c r="O245" s="10"/>
      <c r="P245" s="10"/>
      <c r="Q245" s="10"/>
      <c r="R245" s="10"/>
      <c r="S245" s="31"/>
      <c r="T245" s="31"/>
      <c r="U245" s="31"/>
    </row>
    <row r="246" spans="1:21" ht="19.5" customHeight="1" x14ac:dyDescent="0.2">
      <c r="A246" s="31"/>
      <c r="B246" s="10"/>
      <c r="C246" s="10"/>
      <c r="D246" s="10"/>
      <c r="E246" s="31"/>
      <c r="F246" s="82"/>
      <c r="G246" s="31"/>
      <c r="H246" s="82"/>
      <c r="I246" s="10"/>
      <c r="J246" s="10"/>
      <c r="K246" s="10"/>
      <c r="L246" s="10"/>
      <c r="M246" s="10"/>
      <c r="N246" s="82"/>
      <c r="O246" s="10"/>
      <c r="P246" s="10"/>
      <c r="Q246" s="10"/>
      <c r="R246" s="10"/>
      <c r="S246" s="31"/>
      <c r="T246" s="31"/>
      <c r="U246" s="31"/>
    </row>
    <row r="247" spans="1:21" ht="19.5" customHeight="1" x14ac:dyDescent="0.2">
      <c r="A247" s="31"/>
      <c r="B247" s="10"/>
      <c r="C247" s="10"/>
      <c r="D247" s="10"/>
      <c r="E247" s="31"/>
      <c r="F247" s="82"/>
      <c r="G247" s="31"/>
      <c r="H247" s="82"/>
      <c r="I247" s="10"/>
      <c r="J247" s="10"/>
      <c r="K247" s="10"/>
      <c r="L247" s="10"/>
      <c r="M247" s="10"/>
      <c r="N247" s="82"/>
      <c r="O247" s="10"/>
      <c r="P247" s="10"/>
      <c r="Q247" s="10"/>
      <c r="R247" s="10"/>
      <c r="S247" s="31"/>
      <c r="T247" s="31"/>
      <c r="U247" s="31"/>
    </row>
    <row r="248" spans="1:21" ht="19.5" customHeight="1" x14ac:dyDescent="0.2">
      <c r="A248" s="31"/>
      <c r="B248" s="10"/>
      <c r="C248" s="10"/>
      <c r="D248" s="10"/>
      <c r="E248" s="31"/>
      <c r="F248" s="82"/>
      <c r="G248" s="31"/>
      <c r="H248" s="82"/>
      <c r="I248" s="10"/>
      <c r="J248" s="10"/>
      <c r="K248" s="10"/>
      <c r="L248" s="10"/>
      <c r="M248" s="10"/>
      <c r="N248" s="82"/>
      <c r="O248" s="10"/>
      <c r="P248" s="10"/>
      <c r="Q248" s="10"/>
      <c r="R248" s="10"/>
      <c r="S248" s="31"/>
      <c r="T248" s="31"/>
      <c r="U248" s="31"/>
    </row>
    <row r="249" spans="1:21" ht="19.5" customHeight="1" x14ac:dyDescent="0.2">
      <c r="A249" s="31"/>
      <c r="B249" s="10"/>
      <c r="C249" s="10"/>
      <c r="D249" s="10"/>
      <c r="E249" s="31"/>
      <c r="F249" s="82"/>
      <c r="G249" s="31"/>
      <c r="H249" s="82"/>
      <c r="I249" s="10"/>
      <c r="J249" s="10"/>
      <c r="K249" s="10"/>
      <c r="L249" s="10"/>
      <c r="M249" s="10"/>
      <c r="N249" s="82"/>
      <c r="O249" s="10"/>
      <c r="P249" s="10"/>
      <c r="Q249" s="10"/>
      <c r="R249" s="10"/>
      <c r="S249" s="31"/>
      <c r="T249" s="31"/>
      <c r="U249" s="31"/>
    </row>
    <row r="250" spans="1:21" ht="19.5" customHeight="1" x14ac:dyDescent="0.2">
      <c r="A250" s="31"/>
      <c r="B250" s="10"/>
      <c r="C250" s="10"/>
      <c r="D250" s="10"/>
      <c r="E250" s="31"/>
      <c r="F250" s="82"/>
      <c r="G250" s="31"/>
      <c r="H250" s="82"/>
      <c r="I250" s="10"/>
      <c r="J250" s="10"/>
      <c r="K250" s="10"/>
      <c r="L250" s="10"/>
      <c r="M250" s="10"/>
      <c r="N250" s="82"/>
      <c r="O250" s="10"/>
      <c r="P250" s="10"/>
      <c r="Q250" s="10"/>
      <c r="R250" s="10"/>
      <c r="S250" s="31"/>
      <c r="T250" s="31"/>
      <c r="U250" s="31"/>
    </row>
    <row r="251" spans="1:21" ht="19.5" customHeight="1" x14ac:dyDescent="0.2">
      <c r="A251" s="31"/>
      <c r="B251" s="10"/>
      <c r="C251" s="10"/>
      <c r="D251" s="10"/>
      <c r="E251" s="31"/>
      <c r="F251" s="82"/>
      <c r="G251" s="31"/>
      <c r="H251" s="82"/>
      <c r="I251" s="10"/>
      <c r="J251" s="10"/>
      <c r="K251" s="10"/>
      <c r="L251" s="10"/>
      <c r="M251" s="10"/>
      <c r="N251" s="82"/>
      <c r="O251" s="10"/>
      <c r="P251" s="10"/>
      <c r="Q251" s="10"/>
      <c r="R251" s="10"/>
      <c r="S251" s="31"/>
      <c r="T251" s="31"/>
      <c r="U251" s="31"/>
    </row>
    <row r="252" spans="1:21" ht="19.5" customHeight="1" x14ac:dyDescent="0.2">
      <c r="A252" s="31"/>
      <c r="B252" s="10"/>
      <c r="C252" s="10"/>
      <c r="D252" s="10"/>
      <c r="E252" s="31"/>
      <c r="F252" s="82"/>
      <c r="G252" s="31"/>
      <c r="H252" s="82"/>
      <c r="I252" s="10"/>
      <c r="J252" s="10"/>
      <c r="K252" s="10"/>
      <c r="L252" s="10"/>
      <c r="M252" s="10"/>
      <c r="N252" s="82"/>
      <c r="O252" s="10"/>
      <c r="P252" s="10"/>
      <c r="Q252" s="10"/>
      <c r="R252" s="10"/>
      <c r="S252" s="31"/>
      <c r="T252" s="31"/>
      <c r="U252" s="31"/>
    </row>
    <row r="253" spans="1:21" ht="19.5" customHeight="1" x14ac:dyDescent="0.2">
      <c r="A253" s="31"/>
      <c r="B253" s="10"/>
      <c r="C253" s="10"/>
      <c r="D253" s="10"/>
      <c r="E253" s="31"/>
      <c r="F253" s="82"/>
      <c r="G253" s="31"/>
      <c r="H253" s="82"/>
      <c r="I253" s="10"/>
      <c r="J253" s="10"/>
      <c r="K253" s="10"/>
      <c r="L253" s="10"/>
      <c r="M253" s="10"/>
      <c r="N253" s="82"/>
      <c r="O253" s="10"/>
      <c r="P253" s="10"/>
      <c r="Q253" s="10"/>
      <c r="R253" s="10"/>
      <c r="S253" s="31"/>
      <c r="T253" s="31"/>
      <c r="U253" s="31"/>
    </row>
    <row r="254" spans="1:21" ht="19.5" customHeight="1" x14ac:dyDescent="0.2">
      <c r="A254" s="31"/>
      <c r="B254" s="10"/>
      <c r="C254" s="10"/>
      <c r="D254" s="10"/>
      <c r="E254" s="31"/>
      <c r="F254" s="82"/>
      <c r="G254" s="31"/>
      <c r="H254" s="82"/>
      <c r="I254" s="10"/>
      <c r="J254" s="10"/>
      <c r="K254" s="10"/>
      <c r="L254" s="10"/>
      <c r="M254" s="10"/>
      <c r="N254" s="82"/>
      <c r="O254" s="10"/>
      <c r="P254" s="10"/>
      <c r="Q254" s="10"/>
      <c r="R254" s="10"/>
      <c r="S254" s="31"/>
      <c r="T254" s="31"/>
      <c r="U254" s="31"/>
    </row>
    <row r="255" spans="1:21" ht="19.5" customHeight="1" x14ac:dyDescent="0.2">
      <c r="A255" s="31"/>
      <c r="B255" s="10"/>
      <c r="C255" s="10"/>
      <c r="D255" s="10"/>
      <c r="E255" s="31"/>
      <c r="F255" s="82"/>
      <c r="G255" s="31"/>
      <c r="H255" s="82"/>
      <c r="I255" s="10"/>
      <c r="J255" s="10"/>
      <c r="K255" s="10"/>
      <c r="L255" s="10"/>
      <c r="M255" s="10"/>
      <c r="N255" s="82"/>
      <c r="O255" s="10"/>
      <c r="P255" s="10"/>
      <c r="Q255" s="10"/>
      <c r="R255" s="10"/>
      <c r="S255" s="31"/>
      <c r="T255" s="31"/>
      <c r="U255" s="31"/>
    </row>
    <row r="256" spans="1:21" ht="19.5" customHeight="1" x14ac:dyDescent="0.2">
      <c r="A256" s="31"/>
      <c r="B256" s="10"/>
      <c r="C256" s="10"/>
      <c r="D256" s="10"/>
      <c r="E256" s="31"/>
      <c r="F256" s="82"/>
      <c r="G256" s="31"/>
      <c r="H256" s="82"/>
      <c r="I256" s="10"/>
      <c r="J256" s="10"/>
      <c r="K256" s="10"/>
      <c r="L256" s="10"/>
      <c r="M256" s="10"/>
      <c r="N256" s="82"/>
      <c r="O256" s="10"/>
      <c r="P256" s="10"/>
      <c r="Q256" s="10"/>
      <c r="R256" s="10"/>
      <c r="S256" s="31"/>
      <c r="T256" s="31"/>
      <c r="U256" s="31"/>
    </row>
    <row r="257" spans="1:21" ht="19.5" customHeight="1" x14ac:dyDescent="0.2">
      <c r="A257" s="31"/>
      <c r="B257" s="10"/>
      <c r="C257" s="10"/>
      <c r="D257" s="10"/>
      <c r="E257" s="31"/>
      <c r="F257" s="82"/>
      <c r="G257" s="31"/>
      <c r="H257" s="82"/>
      <c r="I257" s="10"/>
      <c r="J257" s="10"/>
      <c r="K257" s="10"/>
      <c r="L257" s="10"/>
      <c r="M257" s="10"/>
      <c r="N257" s="82"/>
      <c r="O257" s="10"/>
      <c r="P257" s="10"/>
      <c r="Q257" s="10"/>
      <c r="R257" s="10"/>
      <c r="S257" s="31"/>
      <c r="T257" s="31"/>
      <c r="U257" s="31"/>
    </row>
    <row r="258" spans="1:21" ht="19.5" customHeight="1" x14ac:dyDescent="0.2">
      <c r="A258" s="31"/>
      <c r="B258" s="10"/>
      <c r="C258" s="10"/>
      <c r="D258" s="10"/>
      <c r="E258" s="31"/>
      <c r="F258" s="82"/>
      <c r="G258" s="31"/>
      <c r="H258" s="82"/>
      <c r="I258" s="10"/>
      <c r="J258" s="10"/>
      <c r="K258" s="10"/>
      <c r="L258" s="10"/>
      <c r="M258" s="10"/>
      <c r="N258" s="82"/>
      <c r="O258" s="10"/>
      <c r="P258" s="10"/>
      <c r="Q258" s="10"/>
      <c r="R258" s="10"/>
      <c r="S258" s="31"/>
      <c r="T258" s="31"/>
      <c r="U258" s="31"/>
    </row>
    <row r="259" spans="1:21" ht="19.5" customHeight="1" x14ac:dyDescent="0.2">
      <c r="A259" s="31"/>
      <c r="B259" s="10"/>
      <c r="C259" s="10"/>
      <c r="D259" s="10"/>
      <c r="E259" s="31"/>
      <c r="F259" s="82"/>
      <c r="G259" s="31"/>
      <c r="H259" s="82"/>
      <c r="I259" s="10"/>
      <c r="J259" s="10"/>
      <c r="K259" s="10"/>
      <c r="L259" s="10"/>
      <c r="M259" s="10"/>
      <c r="N259" s="82"/>
      <c r="O259" s="10"/>
      <c r="P259" s="10"/>
      <c r="Q259" s="10"/>
      <c r="R259" s="10"/>
      <c r="S259" s="31"/>
      <c r="T259" s="31"/>
      <c r="U259" s="31"/>
    </row>
    <row r="260" spans="1:21" ht="19.5" customHeight="1" x14ac:dyDescent="0.2">
      <c r="A260" s="31"/>
      <c r="B260" s="10"/>
      <c r="C260" s="10"/>
      <c r="D260" s="10"/>
      <c r="E260" s="31"/>
      <c r="F260" s="82"/>
      <c r="G260" s="31"/>
      <c r="H260" s="82"/>
      <c r="I260" s="10"/>
      <c r="J260" s="10"/>
      <c r="K260" s="10"/>
      <c r="L260" s="10"/>
      <c r="M260" s="10"/>
      <c r="N260" s="82"/>
      <c r="O260" s="10"/>
      <c r="P260" s="10"/>
      <c r="Q260" s="10"/>
      <c r="R260" s="10"/>
      <c r="S260" s="31"/>
      <c r="T260" s="31"/>
      <c r="U260" s="31"/>
    </row>
    <row r="261" spans="1:21" ht="19.5" customHeight="1" x14ac:dyDescent="0.2">
      <c r="A261" s="31"/>
      <c r="B261" s="10"/>
      <c r="C261" s="10"/>
      <c r="D261" s="10"/>
      <c r="E261" s="31"/>
      <c r="F261" s="82"/>
      <c r="G261" s="31"/>
      <c r="H261" s="82"/>
      <c r="I261" s="10"/>
      <c r="J261" s="10"/>
      <c r="K261" s="10"/>
      <c r="L261" s="10"/>
      <c r="M261" s="10"/>
      <c r="N261" s="82"/>
      <c r="O261" s="10"/>
      <c r="P261" s="10"/>
      <c r="Q261" s="10"/>
      <c r="R261" s="10"/>
      <c r="S261" s="31"/>
      <c r="T261" s="31"/>
      <c r="U261" s="31"/>
    </row>
    <row r="262" spans="1:21" ht="19.5" customHeight="1" x14ac:dyDescent="0.2">
      <c r="A262" s="31"/>
      <c r="B262" s="10"/>
      <c r="C262" s="10"/>
      <c r="D262" s="10"/>
      <c r="E262" s="31"/>
      <c r="F262" s="82"/>
      <c r="G262" s="31"/>
      <c r="H262" s="82"/>
      <c r="I262" s="10"/>
      <c r="J262" s="10"/>
      <c r="K262" s="10"/>
      <c r="L262" s="10"/>
      <c r="M262" s="10"/>
      <c r="N262" s="82"/>
      <c r="O262" s="10"/>
      <c r="P262" s="10"/>
      <c r="Q262" s="10"/>
      <c r="R262" s="10"/>
      <c r="S262" s="31"/>
      <c r="T262" s="31"/>
      <c r="U262" s="31"/>
    </row>
    <row r="263" spans="1:21" ht="19.5" customHeight="1" x14ac:dyDescent="0.2">
      <c r="A263" s="31"/>
      <c r="B263" s="10"/>
      <c r="C263" s="10"/>
      <c r="D263" s="10"/>
      <c r="E263" s="31"/>
      <c r="F263" s="82"/>
      <c r="G263" s="31"/>
      <c r="H263" s="82"/>
      <c r="I263" s="10"/>
      <c r="J263" s="10"/>
      <c r="K263" s="10"/>
      <c r="L263" s="10"/>
      <c r="M263" s="10"/>
      <c r="N263" s="82"/>
      <c r="O263" s="10"/>
      <c r="P263" s="10"/>
      <c r="Q263" s="10"/>
      <c r="R263" s="10"/>
      <c r="S263" s="31"/>
      <c r="T263" s="31"/>
      <c r="U263" s="31"/>
    </row>
    <row r="264" spans="1:21" ht="19.5" customHeight="1" x14ac:dyDescent="0.2">
      <c r="A264" s="31"/>
      <c r="B264" s="10"/>
      <c r="C264" s="10"/>
      <c r="D264" s="10"/>
      <c r="E264" s="31"/>
      <c r="F264" s="82"/>
      <c r="G264" s="31"/>
      <c r="H264" s="82"/>
      <c r="I264" s="10"/>
      <c r="J264" s="10"/>
      <c r="K264" s="10"/>
      <c r="L264" s="10"/>
      <c r="M264" s="10"/>
      <c r="N264" s="82"/>
      <c r="O264" s="10"/>
      <c r="P264" s="10"/>
      <c r="Q264" s="10"/>
      <c r="R264" s="10"/>
      <c r="S264" s="31"/>
      <c r="T264" s="31"/>
      <c r="U264" s="31"/>
    </row>
    <row r="265" spans="1:21" ht="19.5" customHeight="1" x14ac:dyDescent="0.2">
      <c r="A265" s="31"/>
      <c r="B265" s="10"/>
      <c r="C265" s="10"/>
      <c r="D265" s="10"/>
      <c r="E265" s="31"/>
      <c r="F265" s="82"/>
      <c r="G265" s="31"/>
      <c r="H265" s="82"/>
      <c r="I265" s="10"/>
      <c r="J265" s="10"/>
      <c r="K265" s="10"/>
      <c r="L265" s="10"/>
      <c r="M265" s="10"/>
      <c r="N265" s="82"/>
      <c r="O265" s="10"/>
      <c r="P265" s="10"/>
      <c r="Q265" s="10"/>
      <c r="R265" s="10"/>
      <c r="S265" s="31"/>
      <c r="T265" s="31"/>
      <c r="U265" s="31"/>
    </row>
    <row r="266" spans="1:21" ht="19.5" customHeight="1" x14ac:dyDescent="0.2">
      <c r="A266" s="31"/>
      <c r="B266" s="10"/>
      <c r="C266" s="10"/>
      <c r="D266" s="10"/>
      <c r="E266" s="31"/>
      <c r="F266" s="82"/>
      <c r="G266" s="31"/>
      <c r="H266" s="82"/>
      <c r="I266" s="10"/>
      <c r="J266" s="10"/>
      <c r="K266" s="10"/>
      <c r="L266" s="10"/>
      <c r="M266" s="10"/>
      <c r="N266" s="82"/>
      <c r="O266" s="10"/>
      <c r="P266" s="10"/>
      <c r="Q266" s="10"/>
      <c r="R266" s="10"/>
      <c r="S266" s="31"/>
      <c r="T266" s="31"/>
      <c r="U266" s="31"/>
    </row>
    <row r="267" spans="1:21" ht="19.5" customHeight="1" x14ac:dyDescent="0.2">
      <c r="A267" s="31"/>
      <c r="B267" s="10"/>
      <c r="C267" s="10"/>
      <c r="D267" s="10"/>
      <c r="E267" s="31"/>
      <c r="F267" s="82"/>
      <c r="G267" s="31"/>
      <c r="H267" s="82"/>
      <c r="I267" s="10"/>
      <c r="J267" s="10"/>
      <c r="K267" s="10"/>
      <c r="L267" s="10"/>
      <c r="M267" s="10"/>
      <c r="N267" s="82"/>
      <c r="O267" s="10"/>
      <c r="P267" s="10"/>
      <c r="Q267" s="10"/>
      <c r="R267" s="10"/>
      <c r="S267" s="31"/>
      <c r="T267" s="31"/>
      <c r="U267" s="31"/>
    </row>
    <row r="268" spans="1:21" ht="19.5" customHeight="1" x14ac:dyDescent="0.2">
      <c r="A268" s="31"/>
      <c r="B268" s="10"/>
      <c r="C268" s="10"/>
      <c r="D268" s="10"/>
      <c r="E268" s="31"/>
      <c r="F268" s="82"/>
      <c r="G268" s="31"/>
      <c r="H268" s="82"/>
      <c r="I268" s="10"/>
      <c r="J268" s="10"/>
      <c r="K268" s="10"/>
      <c r="L268" s="10"/>
      <c r="M268" s="10"/>
      <c r="N268" s="82"/>
      <c r="O268" s="10"/>
      <c r="P268" s="10"/>
      <c r="Q268" s="10"/>
      <c r="R268" s="10"/>
      <c r="S268" s="31"/>
      <c r="T268" s="31"/>
      <c r="U268" s="31"/>
    </row>
    <row r="269" spans="1:21" ht="19.5" customHeight="1" x14ac:dyDescent="0.2">
      <c r="A269" s="31"/>
      <c r="B269" s="10"/>
      <c r="C269" s="10"/>
      <c r="D269" s="10"/>
      <c r="E269" s="31"/>
      <c r="F269" s="82"/>
      <c r="G269" s="31"/>
      <c r="H269" s="82"/>
      <c r="I269" s="10"/>
      <c r="J269" s="10"/>
      <c r="K269" s="10"/>
      <c r="L269" s="10"/>
      <c r="M269" s="10"/>
      <c r="N269" s="82"/>
      <c r="O269" s="10"/>
      <c r="P269" s="10"/>
      <c r="Q269" s="10"/>
      <c r="R269" s="10"/>
      <c r="S269" s="31"/>
      <c r="T269" s="31"/>
      <c r="U269" s="31"/>
    </row>
    <row r="270" spans="1:21" ht="19.5" customHeight="1" x14ac:dyDescent="0.2">
      <c r="A270" s="31"/>
      <c r="B270" s="10"/>
      <c r="C270" s="10"/>
      <c r="D270" s="10"/>
      <c r="E270" s="31"/>
      <c r="F270" s="82"/>
      <c r="G270" s="31"/>
      <c r="H270" s="82"/>
      <c r="I270" s="10"/>
      <c r="J270" s="10"/>
      <c r="K270" s="10"/>
      <c r="L270" s="10"/>
      <c r="M270" s="10"/>
      <c r="N270" s="82"/>
      <c r="O270" s="10"/>
      <c r="P270" s="10"/>
      <c r="Q270" s="10"/>
      <c r="R270" s="10"/>
      <c r="S270" s="31"/>
      <c r="T270" s="31"/>
      <c r="U270" s="31"/>
    </row>
    <row r="271" spans="1:21" ht="19.5" customHeight="1" x14ac:dyDescent="0.2">
      <c r="A271" s="31"/>
      <c r="B271" s="10"/>
      <c r="C271" s="10"/>
      <c r="D271" s="10"/>
      <c r="E271" s="31"/>
      <c r="F271" s="82"/>
      <c r="G271" s="31"/>
      <c r="H271" s="82"/>
      <c r="I271" s="10"/>
      <c r="J271" s="10"/>
      <c r="K271" s="10"/>
      <c r="L271" s="10"/>
      <c r="M271" s="10"/>
      <c r="N271" s="82"/>
      <c r="O271" s="10"/>
      <c r="P271" s="10"/>
      <c r="Q271" s="10"/>
      <c r="R271" s="10"/>
      <c r="S271" s="31"/>
      <c r="T271" s="31"/>
      <c r="U271" s="31"/>
    </row>
    <row r="272" spans="1:21" ht="19.5" customHeight="1" x14ac:dyDescent="0.2">
      <c r="A272" s="31"/>
      <c r="B272" s="10"/>
      <c r="C272" s="10"/>
      <c r="D272" s="10"/>
      <c r="E272" s="31"/>
      <c r="F272" s="82"/>
      <c r="G272" s="31"/>
      <c r="H272" s="82"/>
      <c r="I272" s="10"/>
      <c r="J272" s="10"/>
      <c r="K272" s="10"/>
      <c r="L272" s="10"/>
      <c r="M272" s="10"/>
      <c r="N272" s="82"/>
      <c r="O272" s="10"/>
      <c r="P272" s="10"/>
      <c r="Q272" s="10"/>
      <c r="R272" s="10"/>
      <c r="S272" s="31"/>
      <c r="T272" s="31"/>
      <c r="U272" s="31"/>
    </row>
    <row r="273" spans="1:21" ht="19.5" customHeight="1" x14ac:dyDescent="0.2">
      <c r="A273" s="31"/>
      <c r="B273" s="10"/>
      <c r="C273" s="10"/>
      <c r="D273" s="10"/>
      <c r="E273" s="31"/>
      <c r="F273" s="82"/>
      <c r="G273" s="31"/>
      <c r="H273" s="82"/>
      <c r="I273" s="10"/>
      <c r="J273" s="10"/>
      <c r="K273" s="10"/>
      <c r="L273" s="10"/>
      <c r="M273" s="10"/>
      <c r="N273" s="82"/>
      <c r="O273" s="10"/>
      <c r="P273" s="10"/>
      <c r="Q273" s="10"/>
      <c r="R273" s="10"/>
      <c r="S273" s="31"/>
      <c r="T273" s="31"/>
      <c r="U273" s="31"/>
    </row>
    <row r="274" spans="1:21" ht="19.5" customHeight="1" x14ac:dyDescent="0.2">
      <c r="A274" s="31"/>
      <c r="B274" s="10"/>
      <c r="C274" s="10"/>
      <c r="D274" s="10"/>
      <c r="E274" s="31"/>
      <c r="F274" s="82"/>
      <c r="G274" s="31"/>
      <c r="H274" s="82"/>
      <c r="I274" s="10"/>
      <c r="J274" s="10"/>
      <c r="K274" s="10"/>
      <c r="L274" s="10"/>
      <c r="M274" s="10"/>
      <c r="N274" s="82"/>
      <c r="O274" s="10"/>
      <c r="P274" s="10"/>
      <c r="Q274" s="10"/>
      <c r="R274" s="10"/>
      <c r="S274" s="31"/>
      <c r="T274" s="31"/>
      <c r="U274" s="31"/>
    </row>
    <row r="275" spans="1:21" ht="19.5" customHeight="1" x14ac:dyDescent="0.2">
      <c r="A275" s="31"/>
      <c r="B275" s="10"/>
      <c r="C275" s="10"/>
      <c r="D275" s="10"/>
      <c r="E275" s="31"/>
      <c r="F275" s="82"/>
      <c r="G275" s="31"/>
      <c r="H275" s="82"/>
      <c r="I275" s="10"/>
      <c r="J275" s="10"/>
      <c r="K275" s="10"/>
      <c r="L275" s="10"/>
      <c r="M275" s="10"/>
      <c r="N275" s="82"/>
      <c r="O275" s="10"/>
      <c r="P275" s="10"/>
      <c r="Q275" s="10"/>
      <c r="R275" s="10"/>
      <c r="S275" s="31"/>
      <c r="T275" s="31"/>
      <c r="U275" s="31"/>
    </row>
    <row r="276" spans="1:21" ht="19.5" customHeight="1" x14ac:dyDescent="0.2">
      <c r="A276" s="31"/>
      <c r="B276" s="10"/>
      <c r="C276" s="10"/>
      <c r="D276" s="10"/>
      <c r="E276" s="31"/>
      <c r="F276" s="82"/>
      <c r="G276" s="31"/>
      <c r="H276" s="82"/>
      <c r="I276" s="10"/>
      <c r="J276" s="10"/>
      <c r="K276" s="10"/>
      <c r="L276" s="10"/>
      <c r="M276" s="10"/>
      <c r="N276" s="82"/>
      <c r="O276" s="10"/>
      <c r="P276" s="10"/>
      <c r="Q276" s="10"/>
      <c r="R276" s="10"/>
      <c r="S276" s="31"/>
      <c r="T276" s="31"/>
      <c r="U276" s="31"/>
    </row>
    <row r="277" spans="1:21" ht="19.5" customHeight="1" x14ac:dyDescent="0.2">
      <c r="A277" s="84"/>
      <c r="B277" s="85"/>
      <c r="C277" s="33"/>
      <c r="D277" s="33"/>
      <c r="F277" s="34"/>
      <c r="H277" s="34"/>
      <c r="I277" s="85"/>
      <c r="J277" s="85"/>
      <c r="K277" s="35"/>
      <c r="L277" s="85"/>
      <c r="M277" s="85"/>
      <c r="N277" s="34"/>
      <c r="O277" s="85"/>
      <c r="P277" s="85"/>
      <c r="Q277" s="85"/>
      <c r="R277" s="10"/>
      <c r="S277" s="31"/>
      <c r="T277" s="31"/>
      <c r="U277" s="31"/>
    </row>
    <row r="278" spans="1:21" ht="19.5" customHeight="1" x14ac:dyDescent="0.2">
      <c r="A278" s="32"/>
      <c r="B278" s="10"/>
      <c r="C278" s="33"/>
      <c r="D278" s="33"/>
      <c r="F278" s="34"/>
      <c r="H278" s="34"/>
      <c r="I278" s="10"/>
      <c r="J278" s="10"/>
      <c r="K278" s="35"/>
      <c r="L278" s="10"/>
      <c r="M278" s="10"/>
      <c r="N278" s="34"/>
      <c r="O278" s="10"/>
      <c r="P278" s="10"/>
      <c r="Q278" s="10"/>
      <c r="R278" s="10"/>
      <c r="S278" s="31"/>
      <c r="T278" s="31"/>
      <c r="U278" s="31"/>
    </row>
    <row r="279" spans="1:21" ht="19.5" customHeight="1" x14ac:dyDescent="0.2">
      <c r="A279" s="32"/>
      <c r="B279" s="10"/>
      <c r="C279" s="33"/>
      <c r="D279" s="33"/>
      <c r="F279" s="34"/>
      <c r="H279" s="34"/>
      <c r="I279" s="10"/>
      <c r="J279" s="10"/>
      <c r="K279" s="35"/>
      <c r="L279" s="10"/>
      <c r="M279" s="10"/>
      <c r="N279" s="34"/>
      <c r="O279" s="10"/>
      <c r="P279" s="10"/>
      <c r="Q279" s="10"/>
      <c r="R279" s="10"/>
      <c r="S279" s="31"/>
      <c r="T279" s="31"/>
      <c r="U279" s="31"/>
    </row>
    <row r="280" spans="1:21" ht="19.5" customHeight="1" x14ac:dyDescent="0.2">
      <c r="A280" s="32"/>
      <c r="B280" s="10"/>
      <c r="C280" s="33"/>
      <c r="D280" s="33"/>
      <c r="F280" s="34"/>
      <c r="H280" s="34"/>
      <c r="I280" s="10"/>
      <c r="J280" s="10"/>
      <c r="K280" s="35"/>
      <c r="L280" s="10"/>
      <c r="M280" s="10"/>
      <c r="N280" s="34"/>
      <c r="O280" s="10"/>
      <c r="P280" s="10"/>
      <c r="Q280" s="10"/>
      <c r="R280" s="10"/>
      <c r="S280" s="31"/>
      <c r="T280" s="31"/>
      <c r="U280" s="31"/>
    </row>
    <row r="281" spans="1:21" ht="19.5" customHeight="1" x14ac:dyDescent="0.2">
      <c r="A281" s="32"/>
      <c r="B281" s="10"/>
      <c r="C281" s="33"/>
      <c r="D281" s="33"/>
      <c r="F281" s="34"/>
      <c r="H281" s="34"/>
      <c r="I281" s="10"/>
      <c r="J281" s="10"/>
      <c r="K281" s="35"/>
      <c r="L281" s="10"/>
      <c r="M281" s="10"/>
      <c r="N281" s="34"/>
      <c r="O281" s="10"/>
      <c r="P281" s="10"/>
      <c r="Q281" s="10"/>
      <c r="R281" s="10"/>
      <c r="S281" s="31"/>
      <c r="T281" s="31"/>
      <c r="U281" s="31"/>
    </row>
    <row r="282" spans="1:21" ht="19.5" customHeight="1" x14ac:dyDescent="0.2">
      <c r="A282" s="32"/>
      <c r="B282" s="10"/>
      <c r="C282" s="33"/>
      <c r="D282" s="33"/>
      <c r="F282" s="34"/>
      <c r="H282" s="34"/>
      <c r="I282" s="10"/>
      <c r="J282" s="10"/>
      <c r="K282" s="35"/>
      <c r="L282" s="10"/>
      <c r="M282" s="10"/>
      <c r="N282" s="34"/>
      <c r="O282" s="10"/>
      <c r="P282" s="10"/>
      <c r="Q282" s="10"/>
      <c r="R282" s="10"/>
      <c r="S282" s="31"/>
      <c r="T282" s="31"/>
      <c r="U282" s="31"/>
    </row>
    <row r="283" spans="1:21" ht="19.5" customHeight="1" x14ac:dyDescent="0.2">
      <c r="A283" s="32"/>
      <c r="B283" s="10"/>
      <c r="C283" s="33"/>
      <c r="D283" s="33"/>
      <c r="F283" s="34"/>
      <c r="H283" s="34"/>
      <c r="I283" s="10"/>
      <c r="J283" s="10"/>
      <c r="K283" s="35"/>
      <c r="L283" s="10"/>
      <c r="M283" s="10"/>
      <c r="N283" s="34"/>
      <c r="O283" s="10"/>
      <c r="P283" s="10"/>
      <c r="Q283" s="10"/>
      <c r="R283" s="10"/>
      <c r="S283" s="31"/>
      <c r="T283" s="31"/>
      <c r="U283" s="31"/>
    </row>
    <row r="284" spans="1:21" ht="19.5" customHeight="1" x14ac:dyDescent="0.2">
      <c r="A284" s="36"/>
      <c r="B284" s="37"/>
      <c r="C284" s="33"/>
      <c r="D284" s="33"/>
      <c r="F284" s="34"/>
      <c r="H284" s="34"/>
      <c r="I284" s="37"/>
      <c r="J284" s="37"/>
      <c r="K284" s="35"/>
      <c r="L284" s="37"/>
      <c r="M284" s="37"/>
      <c r="N284" s="34"/>
      <c r="O284" s="37"/>
      <c r="P284" s="37"/>
      <c r="Q284" s="37"/>
      <c r="R284" s="33"/>
    </row>
  </sheetData>
  <mergeCells count="5">
    <mergeCell ref="N1:U2"/>
    <mergeCell ref="K1:M1"/>
    <mergeCell ref="K2:M2"/>
    <mergeCell ref="E1:J2"/>
    <mergeCell ref="A1:D2"/>
  </mergeCells>
  <conditionalFormatting sqref="F9:F1048576">
    <cfRule type="expression" dxfId="13" priority="20">
      <formula>$F9="Amber"</formula>
    </cfRule>
    <cfRule type="expression" dxfId="12" priority="21">
      <formula>$F9="Green"</formula>
    </cfRule>
    <cfRule type="expression" dxfId="11" priority="22">
      <formula>$F9="Red"</formula>
    </cfRule>
  </conditionalFormatting>
  <conditionalFormatting sqref="G1:G1048576">
    <cfRule type="expression" dxfId="10" priority="5">
      <formula>$G1="Amber"</formula>
    </cfRule>
    <cfRule type="expression" dxfId="9" priority="6">
      <formula>$G1="Red"</formula>
    </cfRule>
    <cfRule type="expression" dxfId="8" priority="11">
      <formula>$G1="Green"</formula>
    </cfRule>
  </conditionalFormatting>
  <conditionalFormatting sqref="H1:H1048576">
    <cfRule type="expression" dxfId="7" priority="15">
      <formula>$H1="Light"</formula>
    </cfRule>
    <cfRule type="expression" dxfId="6" priority="16">
      <formula>$H1="Full"</formula>
    </cfRule>
  </conditionalFormatting>
  <conditionalFormatting sqref="H8:H1048576">
    <cfRule type="expression" dxfId="5" priority="35">
      <formula>$H8="Amber"</formula>
    </cfRule>
    <cfRule type="expression" dxfId="4" priority="36">
      <formula>$H8="Red"</formula>
    </cfRule>
    <cfRule type="expression" dxfId="3" priority="37">
      <formula>$H8="Green"</formula>
    </cfRule>
  </conditionalFormatting>
  <conditionalFormatting sqref="I1:I1048576">
    <cfRule type="expression" dxfId="2" priority="4">
      <formula>$I1="Green"</formula>
    </cfRule>
    <cfRule type="expression" dxfId="1" priority="9">
      <formula>$I1="Amber"</formula>
    </cfRule>
    <cfRule type="expression" dxfId="0" priority="10">
      <formula>$I1="Red"</formula>
    </cfRule>
  </conditionalFormatting>
  <dataValidations count="6">
    <dataValidation allowBlank="1" showInputMessage="1" showErrorMessage="1" sqref="L4:L7 O3:O7 W4:W5 X6:X7 T3:T7 J3:J7 N4:N1048576 G9:G15 Q1:Q1048576 K1:K1048576 I9:I1048576" xr:uid="{79FF1CA3-B12F-400E-B936-A739FD0C45DD}"/>
    <dataValidation type="list" allowBlank="1" showInputMessage="1" showErrorMessage="1" sqref="H4:H8 G16:G1048576" xr:uid="{8CD04DC2-86E6-4595-B7E7-FE5F0C33C552}">
      <formula1>"Full, Light"</formula1>
    </dataValidation>
    <dataValidation type="list" allowBlank="1" showInputMessage="1" showErrorMessage="1" sqref="G4:G8 I4:I8" xr:uid="{3D34A3BE-86B7-4AB5-BEFD-1688B8E68FC9}">
      <formula1>"Green, Amber, Red"</formula1>
    </dataValidation>
    <dataValidation type="list" allowBlank="1" showInputMessage="1" showErrorMessage="1" sqref="F4:F8" xr:uid="{77F85788-225D-4240-A01F-8DA1ADA661C9}">
      <formula1>"Account Managed, Cleared, Closed, Pending"</formula1>
    </dataValidation>
    <dataValidation type="list" allowBlank="1" showInputMessage="1" showErrorMessage="1" sqref="U3:U8 S8:S1048576" xr:uid="{8E73D850-FD3F-4978-8B2D-B1B1D47C9BC9}">
      <formula1>"Investor, Founder, HNWI, Researcher, C-Suite, Highly Talented"</formula1>
    </dataValidation>
    <dataValidation type="list" allowBlank="1" showInputMessage="1" showErrorMessage="1" sqref="S3:S7" xr:uid="{D57C00CD-0539-44B6-92FE-734A314F60E5}">
      <formula1>"Digital/Tech, Clean Energy, Life Sciences, UHNWI, Investor, NA"</formula1>
    </dataValidation>
  </dataValidations>
  <pageMargins left="0.7" right="0.7" top="0.75" bottom="0.75" header="0.3" footer="0.3"/>
  <pageSetup paperSize="8" scale="61" fitToHeight="0" orientation="portrait" r:id="rId1"/>
  <legacyDrawing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2E4533C9-ADCE-4F50-A303-37C1F42E7C1E}">
          <x14:formula1>
            <xm:f>'Summary View'!$A$13:$A$20</xm:f>
          </x14:formula1>
          <xm:sqref>M3:M94</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D30F9-35A8-4DC4-B2AB-4930B09E8A94}">
  <dimension ref="A1:O40"/>
  <sheetViews>
    <sheetView zoomScale="60" zoomScaleNormal="60" workbookViewId="0">
      <pane xSplit="1" topLeftCell="B1" activePane="topRight" state="frozen"/>
      <selection pane="topRight" activeCell="O4" sqref="O4"/>
    </sheetView>
  </sheetViews>
  <sheetFormatPr baseColWidth="10" defaultColWidth="8.83203125" defaultRowHeight="15" customHeight="1" x14ac:dyDescent="0.2"/>
  <cols>
    <col min="1" max="1" width="31.6640625" customWidth="1"/>
    <col min="2" max="2" width="29" bestFit="1" customWidth="1"/>
    <col min="3" max="3" width="26.5" bestFit="1" customWidth="1"/>
    <col min="4" max="4" width="14.33203125" bestFit="1" customWidth="1"/>
    <col min="5" max="5" width="19" bestFit="1" customWidth="1"/>
    <col min="6" max="6" width="24" bestFit="1" customWidth="1"/>
    <col min="7" max="7" width="14.5" customWidth="1"/>
    <col min="8" max="8" width="41.83203125" customWidth="1"/>
    <col min="9" max="9" width="37" customWidth="1"/>
    <col min="10" max="10" width="10.5" customWidth="1"/>
    <col min="11" max="11" width="28.83203125" customWidth="1"/>
    <col min="12" max="12" width="9" style="5" bestFit="1" customWidth="1"/>
    <col min="13" max="13" width="19.5" style="5" customWidth="1"/>
    <col min="14" max="14" width="19.83203125" customWidth="1"/>
    <col min="15" max="15" width="36.33203125" bestFit="1" customWidth="1"/>
  </cols>
  <sheetData>
    <row r="1" spans="1:15" x14ac:dyDescent="0.2">
      <c r="A1" s="7" t="s">
        <v>119</v>
      </c>
      <c r="B1" s="7"/>
      <c r="C1" s="7"/>
      <c r="D1" s="7"/>
      <c r="E1" s="7"/>
      <c r="F1" s="7"/>
      <c r="G1" s="7"/>
      <c r="H1" s="7"/>
      <c r="I1" s="7"/>
    </row>
    <row r="2" spans="1:15" x14ac:dyDescent="0.2">
      <c r="A2" s="7"/>
      <c r="B2" s="7"/>
      <c r="C2" s="7"/>
      <c r="D2" s="7"/>
      <c r="E2" s="7"/>
      <c r="F2" s="7"/>
      <c r="G2" s="7"/>
      <c r="H2" s="7"/>
      <c r="I2" s="7"/>
    </row>
    <row r="3" spans="1:15" ht="112" x14ac:dyDescent="0.2">
      <c r="A3" s="6" t="s">
        <v>120</v>
      </c>
      <c r="B3" s="6" t="s">
        <v>56</v>
      </c>
      <c r="C3" s="3" t="s">
        <v>57</v>
      </c>
      <c r="D3" s="3" t="s">
        <v>121</v>
      </c>
      <c r="E3" s="3" t="s">
        <v>122</v>
      </c>
      <c r="F3" s="4" t="s">
        <v>123</v>
      </c>
      <c r="G3" s="4" t="s">
        <v>124</v>
      </c>
      <c r="H3" s="4" t="s">
        <v>125</v>
      </c>
      <c r="I3" s="4" t="s">
        <v>126</v>
      </c>
      <c r="J3" s="4" t="s">
        <v>127</v>
      </c>
      <c r="K3" s="4" t="s">
        <v>128</v>
      </c>
      <c r="L3" s="4" t="s">
        <v>129</v>
      </c>
      <c r="M3" s="4" t="s">
        <v>130</v>
      </c>
      <c r="N3" s="4" t="s">
        <v>131</v>
      </c>
      <c r="O3" s="4" t="s">
        <v>132</v>
      </c>
    </row>
    <row r="4" spans="1:15" ht="128" x14ac:dyDescent="0.2">
      <c r="A4" s="92" t="s">
        <v>113</v>
      </c>
      <c r="B4" s="108" t="s">
        <v>114</v>
      </c>
      <c r="C4" s="10" t="s">
        <v>115</v>
      </c>
      <c r="D4" s="8">
        <v>46214</v>
      </c>
      <c r="E4" t="s">
        <v>92</v>
      </c>
      <c r="F4" t="s">
        <v>133</v>
      </c>
      <c r="G4" t="s">
        <v>78</v>
      </c>
      <c r="H4" s="5" t="s">
        <v>134</v>
      </c>
      <c r="I4" s="5" t="s">
        <v>135</v>
      </c>
      <c r="J4" t="s">
        <v>136</v>
      </c>
      <c r="K4" s="5" t="s">
        <v>137</v>
      </c>
      <c r="L4" s="5" t="s">
        <v>138</v>
      </c>
      <c r="M4" s="5" t="s">
        <v>139</v>
      </c>
      <c r="N4" s="5" t="s">
        <v>140</v>
      </c>
      <c r="O4" s="5" t="s">
        <v>141</v>
      </c>
    </row>
    <row r="5" spans="1:15" x14ac:dyDescent="0.2"/>
    <row r="6" spans="1:15" x14ac:dyDescent="0.2"/>
    <row r="7" spans="1:15" x14ac:dyDescent="0.2"/>
    <row r="8" spans="1:15" x14ac:dyDescent="0.2"/>
    <row r="9" spans="1:15" x14ac:dyDescent="0.2"/>
    <row r="10" spans="1:15" x14ac:dyDescent="0.2"/>
    <row r="11" spans="1:15" x14ac:dyDescent="0.2"/>
    <row r="12" spans="1:15" x14ac:dyDescent="0.2"/>
    <row r="13" spans="1:15" x14ac:dyDescent="0.2"/>
    <row r="14" spans="1:15" x14ac:dyDescent="0.2"/>
    <row r="15" spans="1:15" x14ac:dyDescent="0.2"/>
    <row r="16" spans="1:15" x14ac:dyDescent="0.2"/>
    <row r="17" x14ac:dyDescent="0.2"/>
    <row r="18" x14ac:dyDescent="0.2"/>
    <row r="19" x14ac:dyDescent="0.2"/>
    <row r="20" x14ac:dyDescent="0.2"/>
    <row r="21" x14ac:dyDescent="0.2"/>
    <row r="22" x14ac:dyDescent="0.2"/>
    <row r="23" x14ac:dyDescent="0.2"/>
    <row r="24" x14ac:dyDescent="0.2"/>
    <row r="25" x14ac:dyDescent="0.2"/>
    <row r="26" x14ac:dyDescent="0.2"/>
    <row r="27" x14ac:dyDescent="0.2"/>
    <row r="28" x14ac:dyDescent="0.2"/>
    <row r="29" x14ac:dyDescent="0.2"/>
    <row r="30" x14ac:dyDescent="0.2"/>
    <row r="31" x14ac:dyDescent="0.2"/>
    <row r="32" x14ac:dyDescent="0.2"/>
    <row r="33" x14ac:dyDescent="0.2"/>
    <row r="34" x14ac:dyDescent="0.2"/>
    <row r="35" x14ac:dyDescent="0.2"/>
    <row r="36" x14ac:dyDescent="0.2"/>
    <row r="37" x14ac:dyDescent="0.2"/>
    <row r="38" x14ac:dyDescent="0.2"/>
    <row r="39" x14ac:dyDescent="0.2"/>
    <row r="40" x14ac:dyDescent="0.2"/>
  </sheetData>
  <dataValidations count="1">
    <dataValidation type="list" allowBlank="1" showInputMessage="1" showErrorMessage="1" sqref="M4" xr:uid="{BD9F496F-8B1C-4EA0-9FDC-C515523DFBB5}">
      <formula1>"Full Relocation, Increased Investment, Increased Business Activity, Increased UK Presence, Project/Research-based Relocation, Remain in UK"</formula1>
    </dataValidation>
  </dataValidations>
  <pageMargins left="0.7" right="0.7" top="0.75" bottom="0.75" header="0.3" footer="0.3"/>
  <legacy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597E7-6763-41A6-BF25-00B7C414EDF3}">
  <dimension ref="A1:C3"/>
  <sheetViews>
    <sheetView zoomScale="86" workbookViewId="0">
      <selection activeCell="H9" sqref="H9"/>
    </sheetView>
  </sheetViews>
  <sheetFormatPr baseColWidth="10" defaultColWidth="8.83203125" defaultRowHeight="15" x14ac:dyDescent="0.2"/>
  <cols>
    <col min="1" max="1" width="23.5" bestFit="1" customWidth="1"/>
    <col min="2" max="2" width="35.5" style="5" customWidth="1"/>
    <col min="3" max="3" width="19.6640625" bestFit="1" customWidth="1"/>
  </cols>
  <sheetData>
    <row r="1" spans="1:3" ht="16" x14ac:dyDescent="0.2">
      <c r="A1" s="57" t="s">
        <v>142</v>
      </c>
      <c r="B1" s="58" t="s">
        <v>143</v>
      </c>
      <c r="C1" s="57" t="s">
        <v>144</v>
      </c>
    </row>
    <row r="2" spans="1:3" ht="16" x14ac:dyDescent="0.2">
      <c r="A2" t="s">
        <v>145</v>
      </c>
      <c r="B2" s="13" t="s">
        <v>146</v>
      </c>
      <c r="C2" s="13" t="s">
        <v>147</v>
      </c>
    </row>
    <row r="3" spans="1:3" ht="16" x14ac:dyDescent="0.2">
      <c r="A3" s="55" t="s">
        <v>148</v>
      </c>
      <c r="B3" s="13" t="s">
        <v>149</v>
      </c>
      <c r="C3" s="13" t="s">
        <v>150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9C7C1-F3DD-421E-83C2-3196423DC1D5}">
  <dimension ref="A1:J19"/>
  <sheetViews>
    <sheetView zoomScaleNormal="100" workbookViewId="0">
      <selection activeCell="L9" sqref="L9"/>
    </sheetView>
  </sheetViews>
  <sheetFormatPr baseColWidth="10" defaultColWidth="8.83203125" defaultRowHeight="15" customHeight="1" x14ac:dyDescent="0.2"/>
  <cols>
    <col min="1" max="1" width="22.5" bestFit="1" customWidth="1"/>
    <col min="2" max="2" width="28.1640625" bestFit="1" customWidth="1"/>
    <col min="3" max="3" width="45.33203125" bestFit="1" customWidth="1"/>
    <col min="4" max="4" width="18.33203125" bestFit="1" customWidth="1"/>
    <col min="5" max="5" width="25" customWidth="1"/>
    <col min="6" max="6" width="34.5" bestFit="1" customWidth="1"/>
    <col min="7" max="7" width="22.1640625" bestFit="1" customWidth="1"/>
    <col min="8" max="8" width="18.5" bestFit="1" customWidth="1"/>
    <col min="9" max="9" width="22.33203125" customWidth="1"/>
    <col min="10" max="10" width="56.5" customWidth="1"/>
  </cols>
  <sheetData>
    <row r="1" spans="1:10" s="77" customFormat="1" ht="22" x14ac:dyDescent="0.3">
      <c r="A1" s="118" t="s">
        <v>151</v>
      </c>
      <c r="B1" s="118"/>
      <c r="C1" s="118"/>
      <c r="D1" s="118"/>
      <c r="E1" s="118"/>
      <c r="F1" s="118"/>
      <c r="G1" s="118"/>
      <c r="H1" s="118"/>
      <c r="I1" s="118"/>
    </row>
    <row r="2" spans="1:10" ht="15" customHeight="1" x14ac:dyDescent="0.2">
      <c r="A2" s="119" t="s">
        <v>152</v>
      </c>
      <c r="B2" s="120"/>
    </row>
    <row r="3" spans="1:10" ht="15" customHeight="1" x14ac:dyDescent="0.2">
      <c r="A3" s="80" t="s">
        <v>153</v>
      </c>
      <c r="B3" s="81">
        <f>COUNTIF(Table5[Sector], A3)</f>
        <v>1</v>
      </c>
    </row>
    <row r="4" spans="1:10" ht="15" customHeight="1" x14ac:dyDescent="0.2">
      <c r="A4" s="78" t="s">
        <v>154</v>
      </c>
      <c r="B4" s="81">
        <f>COUNTIF(Table5[Sector], A4)</f>
        <v>1</v>
      </c>
    </row>
    <row r="5" spans="1:10" ht="15" customHeight="1" x14ac:dyDescent="0.2">
      <c r="A5" s="78" t="s">
        <v>155</v>
      </c>
      <c r="B5" s="81">
        <f>COUNTIF(Table5[Sector], A5)</f>
        <v>0</v>
      </c>
    </row>
    <row r="6" spans="1:10" ht="15" customHeight="1" x14ac:dyDescent="0.2">
      <c r="A6" s="79" t="s">
        <v>156</v>
      </c>
      <c r="B6" s="81">
        <f>COUNTIF(Table5[Sector], A6)</f>
        <v>1</v>
      </c>
    </row>
    <row r="9" spans="1:10" x14ac:dyDescent="0.2">
      <c r="A9" s="64" t="s">
        <v>142</v>
      </c>
      <c r="B9" s="65" t="s">
        <v>56</v>
      </c>
      <c r="C9" s="65" t="s">
        <v>157</v>
      </c>
      <c r="D9" s="65" t="s">
        <v>3</v>
      </c>
      <c r="E9" s="65" t="s">
        <v>158</v>
      </c>
      <c r="F9" s="65" t="s">
        <v>159</v>
      </c>
      <c r="G9" s="65" t="s">
        <v>160</v>
      </c>
      <c r="H9" s="65" t="s">
        <v>161</v>
      </c>
      <c r="I9" s="65" t="s">
        <v>162</v>
      </c>
      <c r="J9" s="66" t="s">
        <v>163</v>
      </c>
    </row>
    <row r="10" spans="1:10" x14ac:dyDescent="0.2">
      <c r="A10" s="62" t="s">
        <v>164</v>
      </c>
      <c r="B10" s="9" t="s">
        <v>165</v>
      </c>
      <c r="C10" s="9" t="s">
        <v>166</v>
      </c>
      <c r="D10" s="9" t="s">
        <v>167</v>
      </c>
      <c r="E10" s="9" t="s">
        <v>153</v>
      </c>
      <c r="F10" s="9" t="s">
        <v>168</v>
      </c>
      <c r="G10" s="9" t="s">
        <v>169</v>
      </c>
      <c r="H10" s="9" t="s">
        <v>170</v>
      </c>
      <c r="I10" s="9" t="s">
        <v>89</v>
      </c>
      <c r="J10" s="63"/>
    </row>
    <row r="11" spans="1:10" x14ac:dyDescent="0.2">
      <c r="A11" s="62" t="s">
        <v>171</v>
      </c>
      <c r="B11" s="9" t="s">
        <v>172</v>
      </c>
      <c r="C11" s="9" t="s">
        <v>173</v>
      </c>
      <c r="D11" s="9" t="s">
        <v>174</v>
      </c>
      <c r="E11" s="9" t="s">
        <v>154</v>
      </c>
      <c r="F11" s="9" t="s">
        <v>175</v>
      </c>
      <c r="G11" s="9" t="s">
        <v>176</v>
      </c>
      <c r="H11" s="9" t="s">
        <v>177</v>
      </c>
      <c r="I11" s="9" t="s">
        <v>89</v>
      </c>
      <c r="J11" s="63"/>
    </row>
    <row r="12" spans="1:10" x14ac:dyDescent="0.2">
      <c r="A12" s="62" t="s">
        <v>178</v>
      </c>
      <c r="B12" s="9" t="s">
        <v>179</v>
      </c>
      <c r="C12" s="9" t="s">
        <v>180</v>
      </c>
      <c r="D12" s="9" t="s">
        <v>181</v>
      </c>
      <c r="E12" s="9" t="s">
        <v>156</v>
      </c>
      <c r="F12" s="9" t="s">
        <v>182</v>
      </c>
      <c r="G12" s="9" t="s">
        <v>169</v>
      </c>
      <c r="H12" s="9" t="s">
        <v>183</v>
      </c>
      <c r="I12" s="9" t="s">
        <v>89</v>
      </c>
      <c r="J12" s="63"/>
    </row>
    <row r="13" spans="1:10" x14ac:dyDescent="0.2"/>
    <row r="14" spans="1:10" x14ac:dyDescent="0.2"/>
    <row r="15" spans="1:10" x14ac:dyDescent="0.2"/>
    <row r="16" spans="1:10" x14ac:dyDescent="0.2"/>
    <row r="17" x14ac:dyDescent="0.2"/>
    <row r="18" x14ac:dyDescent="0.2"/>
    <row r="19" x14ac:dyDescent="0.2"/>
  </sheetData>
  <mergeCells count="2">
    <mergeCell ref="A1:I1"/>
    <mergeCell ref="A2:B2"/>
  </mergeCells>
  <dataValidations count="1">
    <dataValidation type="list" allowBlank="1" showInputMessage="1" showErrorMessage="1" sqref="D10:D12" xr:uid="{AD1B5277-B32E-44A0-A6EA-ACDF313C3335}">
      <formula1>"Not priority, To pitch, Pitched, Pursuing Partnership, Partnership Agreed"</formula1>
    </dataValidation>
  </dataValidation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59AF4EE47547794CA851D3290FCA2BDB" ma:contentTypeVersion="19" ma:contentTypeDescription="Create a new document." ma:contentTypeScope="" ma:versionID="f75396bc9eacf9897f5da596d23f2fc0">
  <xsd:schema xmlns:xsd="http://www.w3.org/2001/XMLSchema" xmlns:xs="http://www.w3.org/2001/XMLSchema" xmlns:p="http://schemas.microsoft.com/office/2006/metadata/properties" xmlns:ns2="6e84a8e2-feed-4d44-8439-32e39f56fd8a" xmlns:ns3="0063f72e-ace3-48fb-9c1f-5b513408b31f" xmlns:ns4="b413c3fd-5a3b-4239-b985-69032e371c04" xmlns:ns5="a8f60570-4bd3-4f2b-950b-a996de8ab151" xmlns:ns6="aaacb922-5235-4a66-b188-303b9b46fbd7" xmlns:ns7="0661a867-4fd7-4233-9156-962030b8d12b" targetNamespace="http://schemas.microsoft.com/office/2006/metadata/properties" ma:root="true" ma:fieldsID="d6d386af6a0e28daacef39bd495e8901" ns2:_="" ns3:_="" ns4:_="" ns5:_="" ns6:_="" ns7:_="">
    <xsd:import namespace="6e84a8e2-feed-4d44-8439-32e39f56fd8a"/>
    <xsd:import namespace="0063f72e-ace3-48fb-9c1f-5b513408b31f"/>
    <xsd:import namespace="b413c3fd-5a3b-4239-b985-69032e371c04"/>
    <xsd:import namespace="a8f60570-4bd3-4f2b-950b-a996de8ab151"/>
    <xsd:import namespace="aaacb922-5235-4a66-b188-303b9b46fbd7"/>
    <xsd:import namespace="0661a867-4fd7-4233-9156-962030b8d12b"/>
    <xsd:element name="properties">
      <xsd:complexType>
        <xsd:sequence>
          <xsd:element name="documentManagement">
            <xsd:complexType>
              <xsd:all>
                <xsd:element ref="ns2:_dlc_DocId" minOccurs="0"/>
                <xsd:element ref="ns2:_dlc_DocIdUrl" minOccurs="0"/>
                <xsd:element ref="ns2:_dlc_DocIdPersistId" minOccurs="0"/>
                <xsd:element ref="ns3:Security_x0020_Classification" minOccurs="0"/>
                <xsd:element ref="ns3:Descriptor" minOccurs="0"/>
                <xsd:element ref="ns2:m975189f4ba442ecbf67d4147307b177" minOccurs="0"/>
                <xsd:element ref="ns2:TaxCatchAll" minOccurs="0"/>
                <xsd:element ref="ns2:TaxCatchAllLabel" minOccurs="0"/>
                <xsd:element ref="ns4:Government_x0020_Body" minOccurs="0"/>
                <xsd:element ref="ns4:Date_x0020_Opened" minOccurs="0"/>
                <xsd:element ref="ns4:Date_x0020_Closed" minOccurs="0"/>
                <xsd:element ref="ns5:Retention_x0020_Label" minOccurs="0"/>
                <xsd:element ref="ns6:LegacyData" minOccurs="0"/>
                <xsd:element ref="ns7:MediaServiceMetadata" minOccurs="0"/>
                <xsd:element ref="ns7:MediaServiceFastMetadata" minOccurs="0"/>
                <xsd:element ref="ns7:MediaServiceSearchProperties" minOccurs="0"/>
                <xsd:element ref="ns7:MediaServiceDateTaken" minOccurs="0"/>
                <xsd:element ref="ns7:lcf76f155ced4ddcb4097134ff3c332f" minOccurs="0"/>
                <xsd:element ref="ns7:MediaServiceOCR" minOccurs="0"/>
                <xsd:element ref="ns7:MediaServiceGenerationTime" minOccurs="0"/>
                <xsd:element ref="ns7:MediaServiceEventHashCode" minOccurs="0"/>
                <xsd:element ref="ns7: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e84a8e2-feed-4d44-8439-32e39f56fd8a"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m975189f4ba442ecbf67d4147307b177" ma:index="13" nillable="true" ma:taxonomy="true" ma:internalName="m975189f4ba442ecbf67d4147307b177" ma:taxonomyFieldName="Business_x0020_Unit" ma:displayName="Business Unit" ma:default="19;#Tech Insights, Strategy and Global Talent|2e82c440-11c4-4742-8b8d-725d36c19f5f" ma:fieldId="{6975189f-4ba4-42ec-bf67-d4147307b177}" ma:sspId="07c4ed84-5fe0-43ce-92b1-d76889ed7488" ma:termSetId="6f71e40e-3a2e-4baf-91d9-2069eb354530" ma:anchorId="00000000-0000-0000-0000-000000000000" ma:open="false" ma:isKeyword="false">
      <xsd:complexType>
        <xsd:sequence>
          <xsd:element ref="pc:Terms" minOccurs="0" maxOccurs="1"/>
        </xsd:sequence>
      </xsd:complexType>
    </xsd:element>
    <xsd:element name="TaxCatchAll" ma:index="14" nillable="true" ma:displayName="Taxonomy Catch All Column" ma:hidden="true" ma:list="{9e6c045d-be07-4131-a417-8ab7984b4ee2}" ma:internalName="TaxCatchAll" ma:showField="CatchAllData" ma:web="6e84a8e2-feed-4d44-8439-32e39f56fd8a">
      <xsd:complexType>
        <xsd:complexContent>
          <xsd:extension base="dms:MultiChoiceLookup">
            <xsd:sequence>
              <xsd:element name="Value" type="dms:Lookup" maxOccurs="unbounded" minOccurs="0" nillable="true"/>
            </xsd:sequence>
          </xsd:extension>
        </xsd:complexContent>
      </xsd:complexType>
    </xsd:element>
    <xsd:element name="TaxCatchAllLabel" ma:index="15" nillable="true" ma:displayName="Taxonomy Catch All Column1" ma:hidden="true" ma:list="{9e6c045d-be07-4131-a417-8ab7984b4ee2}" ma:internalName="TaxCatchAllLabel" ma:readOnly="true" ma:showField="CatchAllDataLabel" ma:web="6e84a8e2-feed-4d44-8439-32e39f56fd8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063f72e-ace3-48fb-9c1f-5b513408b31f" elementFormDefault="qualified">
    <xsd:import namespace="http://schemas.microsoft.com/office/2006/documentManagement/types"/>
    <xsd:import namespace="http://schemas.microsoft.com/office/infopath/2007/PartnerControls"/>
    <xsd:element name="Security_x0020_Classification" ma:index="11" nillable="true" ma:displayName="Security Classification" ma:default="OFFICIAL" ma:format="Dropdown" ma:indexed="true" ma:internalName="Security_x0020_Classification">
      <xsd:simpleType>
        <xsd:restriction base="dms:Choice">
          <xsd:enumeration value="OFFICIAL"/>
          <xsd:enumeration value="OFFICIAL - SENSITIVE"/>
        </xsd:restriction>
      </xsd:simpleType>
    </xsd:element>
    <xsd:element name="Descriptor" ma:index="12" nillable="true" ma:displayName="Descriptor" ma:default="" ma:format="Dropdown" ma:indexed="true" ma:internalName="Descriptor">
      <xsd:simpleType>
        <xsd:restriction base="dms:Choice">
          <xsd:enumeration value="COMMERCIAL"/>
          <xsd:enumeration value="PERSONAL"/>
          <xsd:enumeration value="LOCSEN"/>
        </xsd:restriction>
      </xsd:simpleType>
    </xsd:element>
  </xsd:schema>
  <xsd:schema xmlns:xsd="http://www.w3.org/2001/XMLSchema" xmlns:xs="http://www.w3.org/2001/XMLSchema" xmlns:dms="http://schemas.microsoft.com/office/2006/documentManagement/types" xmlns:pc="http://schemas.microsoft.com/office/infopath/2007/PartnerControls" targetNamespace="b413c3fd-5a3b-4239-b985-69032e371c04" elementFormDefault="qualified">
    <xsd:import namespace="http://schemas.microsoft.com/office/2006/documentManagement/types"/>
    <xsd:import namespace="http://schemas.microsoft.com/office/infopath/2007/PartnerControls"/>
    <xsd:element name="Government_x0020_Body" ma:index="17" nillable="true" ma:displayName="Government Body" ma:default="DIT" ma:internalName="Government_x0020_Body">
      <xsd:simpleType>
        <xsd:restriction base="dms:Text">
          <xsd:maxLength value="255"/>
        </xsd:restriction>
      </xsd:simpleType>
    </xsd:element>
    <xsd:element name="Date_x0020_Opened" ma:index="18" nillable="true" ma:displayName="Date Opened" ma:default="[Today]" ma:format="DateOnly" ma:internalName="Date_x0020_Opened">
      <xsd:simpleType>
        <xsd:restriction base="dms:DateTime"/>
      </xsd:simpleType>
    </xsd:element>
    <xsd:element name="Date_x0020_Closed" ma:index="19" nillable="true" ma:displayName="Date Closed" ma:format="DateOnly" ma:internalName="Date_x0020_Closed">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a8f60570-4bd3-4f2b-950b-a996de8ab151" elementFormDefault="qualified">
    <xsd:import namespace="http://schemas.microsoft.com/office/2006/documentManagement/types"/>
    <xsd:import namespace="http://schemas.microsoft.com/office/infopath/2007/PartnerControls"/>
    <xsd:element name="Retention_x0020_Label" ma:index="20" nillable="true" ma:displayName="Retention Label" ma:internalName="Retention_x0020_Label">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aacb922-5235-4a66-b188-303b9b46fbd7" elementFormDefault="qualified">
    <xsd:import namespace="http://schemas.microsoft.com/office/2006/documentManagement/types"/>
    <xsd:import namespace="http://schemas.microsoft.com/office/infopath/2007/PartnerControls"/>
    <xsd:element name="LegacyData" ma:index="21" nillable="true" ma:displayName="Legacy Data" ma:internalName="LegacyData">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661a867-4fd7-4233-9156-962030b8d12b" elementFormDefault="qualified">
    <xsd:import namespace="http://schemas.microsoft.com/office/2006/documentManagement/types"/>
    <xsd:import namespace="http://schemas.microsoft.com/office/infopath/2007/PartnerControls"/>
    <xsd:element name="MediaServiceMetadata" ma:index="22" nillable="true" ma:displayName="MediaServiceMetadata" ma:hidden="true" ma:internalName="MediaServiceMetadata" ma:readOnly="true">
      <xsd:simpleType>
        <xsd:restriction base="dms:Note"/>
      </xsd:simpleType>
    </xsd:element>
    <xsd:element name="MediaServiceFastMetadata" ma:index="23" nillable="true" ma:displayName="MediaServiceFastMetadata" ma:hidden="true" ma:internalName="MediaServiceFastMetadata" ma:readOnly="true">
      <xsd:simpleType>
        <xsd:restriction base="dms:Not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DateTaken" ma:index="25" nillable="true" ma:displayName="MediaServiceDateTaken" ma:hidden="true" ma:indexed="true" ma:internalName="MediaServiceDateTaken" ma:readOnly="true">
      <xsd:simpleType>
        <xsd:restriction base="dms:Text"/>
      </xsd:simpleType>
    </xsd:element>
    <xsd:element name="lcf76f155ced4ddcb4097134ff3c332f" ma:index="27" nillable="true" ma:taxonomy="true" ma:internalName="lcf76f155ced4ddcb4097134ff3c332f" ma:taxonomyFieldName="MediaServiceImageTags" ma:displayName="Image Tags" ma:readOnly="false" ma:fieldId="{5cf76f15-5ced-4ddc-b409-7134ff3c332f}" ma:taxonomyMulti="true" ma:sspId="07c4ed84-5fe0-43ce-92b1-d76889ed7488" ma:termSetId="09814cd3-568e-fe90-9814-8d621ff8fb84" ma:anchorId="fba54fb3-c3e1-fe81-a776-ca4b69148c4d" ma:open="true" ma:isKeyword="false">
      <xsd:complexType>
        <xsd:sequence>
          <xsd:element ref="pc:Terms" minOccurs="0" maxOccurs="1"/>
        </xsd:sequence>
      </xsd:complexType>
    </xsd:element>
    <xsd:element name="MediaServiceOCR" ma:index="28" nillable="true" ma:displayName="Extracted Text" ma:internalName="MediaServiceOCR" ma:readOnly="true">
      <xsd:simpleType>
        <xsd:restriction base="dms:Note">
          <xsd:maxLength value="255"/>
        </xsd:restriction>
      </xsd:simpleType>
    </xsd:element>
    <xsd:element name="MediaServiceGenerationTime" ma:index="29" nillable="true" ma:displayName="MediaServiceGenerationTime" ma:hidden="true" ma:internalName="MediaServiceGenerationTime" ma:readOnly="true">
      <xsd:simpleType>
        <xsd:restriction base="dms:Text"/>
      </xsd:simpleType>
    </xsd:element>
    <xsd:element name="MediaServiceEventHashCode" ma:index="30" nillable="true" ma:displayName="MediaServiceEventHashCode" ma:hidden="true" ma:internalName="MediaServiceEventHashCode" ma:readOnly="true">
      <xsd:simpleType>
        <xsd:restriction base="dms:Text"/>
      </xsd:simpleType>
    </xsd:element>
    <xsd:element name="MediaLengthInSeconds" ma:index="31"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6e84a8e2-feed-4d44-8439-32e39f56fd8a">
      <Value>1</Value>
    </TaxCatchAll>
    <Government_x0020_Body xmlns="b413c3fd-5a3b-4239-b985-69032e371c04">DIT</Government_x0020_Body>
    <Date_x0020_Opened xmlns="b413c3fd-5a3b-4239-b985-69032e371c04">2025-07-03T15:42:55+00:00</Date_x0020_Opened>
    <LegacyData xmlns="aaacb922-5235-4a66-b188-303b9b46fbd7" xsi:nil="true"/>
    <Descriptor xmlns="0063f72e-ace3-48fb-9c1f-5b513408b31f" xsi:nil="true"/>
    <Security_x0020_Classification xmlns="0063f72e-ace3-48fb-9c1f-5b513408b31f">OFFICIAL</Security_x0020_Classification>
    <m975189f4ba442ecbf67d4147307b177 xmlns="6e84a8e2-feed-4d44-8439-32e39f56fd8a">
      <Terms xmlns="http://schemas.microsoft.com/office/infopath/2007/PartnerControls">
        <TermInfo xmlns="http://schemas.microsoft.com/office/infopath/2007/PartnerControls">
          <TermName xmlns="http://schemas.microsoft.com/office/infopath/2007/PartnerControls">Strategy and Growth</TermName>
          <TermId xmlns="http://schemas.microsoft.com/office/infopath/2007/PartnerControls">51b2dd1a-446e-44cf-a562-d378ec654c2b</TermId>
        </TermInfo>
      </Terms>
    </m975189f4ba442ecbf67d4147307b177>
    <Retention_x0020_Label xmlns="a8f60570-4bd3-4f2b-950b-a996de8ab151" xsi:nil="true"/>
    <Date_x0020_Closed xmlns="b413c3fd-5a3b-4239-b985-69032e371c04" xsi:nil="true"/>
    <_dlc_DocId xmlns="6e84a8e2-feed-4d44-8439-32e39f56fd8a">KV73656VC62Y-234705009-2009</_dlc_DocId>
    <_dlc_DocIdUrl xmlns="6e84a8e2-feed-4d44-8439-32e39f56fd8a">
      <Url>https://dbis.sharepoint.com/sites/GTT/_layouts/15/DocIdRedir.aspx?ID=KV73656VC62Y-234705009-2009</Url>
      <Description>KV73656VC62Y-234705009-2009</Description>
    </_dlc_DocIdUrl>
    <lcf76f155ced4ddcb4097134ff3c332f xmlns="0661a867-4fd7-4233-9156-962030b8d12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64E9FF9-685B-40CB-A567-0C8F7E09C38E}">
  <ds:schemaRefs>
    <ds:schemaRef ds:uri="http://schemas.microsoft.com/sharepoint/v3/contenttype/forms"/>
  </ds:schemaRefs>
</ds:datastoreItem>
</file>

<file path=customXml/itemProps2.xml><?xml version="1.0" encoding="utf-8"?>
<ds:datastoreItem xmlns:ds="http://schemas.openxmlformats.org/officeDocument/2006/customXml" ds:itemID="{1BFC43FE-4932-495E-85F8-D6A6EFB8AE87}">
  <ds:schemaRefs>
    <ds:schemaRef ds:uri="http://schemas.microsoft.com/sharepoint/events"/>
  </ds:schemaRefs>
</ds:datastoreItem>
</file>

<file path=customXml/itemProps3.xml><?xml version="1.0" encoding="utf-8"?>
<ds:datastoreItem xmlns:ds="http://schemas.openxmlformats.org/officeDocument/2006/customXml" ds:itemID="{083C3D81-B220-4792-9080-F313AEFEB99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e84a8e2-feed-4d44-8439-32e39f56fd8a"/>
    <ds:schemaRef ds:uri="0063f72e-ace3-48fb-9c1f-5b513408b31f"/>
    <ds:schemaRef ds:uri="b413c3fd-5a3b-4239-b985-69032e371c04"/>
    <ds:schemaRef ds:uri="a8f60570-4bd3-4f2b-950b-a996de8ab151"/>
    <ds:schemaRef ds:uri="aaacb922-5235-4a66-b188-303b9b46fbd7"/>
    <ds:schemaRef ds:uri="0661a867-4fd7-4233-9156-962030b8d12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FF31DE8-02E1-4893-8431-5C924745F925}">
  <ds:schemaRefs>
    <ds:schemaRef ds:uri="http://schemas.microsoft.com/office/2006/metadata/properties"/>
    <ds:schemaRef ds:uri="http://schemas.microsoft.com/office/infopath/2007/PartnerControls"/>
    <ds:schemaRef ds:uri="6e84a8e2-feed-4d44-8439-32e39f56fd8a"/>
    <ds:schemaRef ds:uri="b413c3fd-5a3b-4239-b985-69032e371c04"/>
    <ds:schemaRef ds:uri="aaacb922-5235-4a66-b188-303b9b46fbd7"/>
    <ds:schemaRef ds:uri="0063f72e-ace3-48fb-9c1f-5b513408b31f"/>
    <ds:schemaRef ds:uri="a8f60570-4bd3-4f2b-950b-a996de8ab151"/>
    <ds:schemaRef ds:uri="0661a867-4fd7-4233-9156-962030b8d12b"/>
  </ds:schemaRefs>
</ds:datastoreItem>
</file>

<file path=docMetadata/LabelInfo.xml><?xml version="1.0" encoding="utf-8"?>
<clbl:labelList xmlns:clbl="http://schemas.microsoft.com/office/2020/mipLabelMetadata">
  <clbl:label id="{de311e09-2995-41a9-b03d-8df28636e6f2}" enabled="1" method="Privileged" siteId="{8fa217ec-33aa-46fb-ad96-dfe68006bb86}"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Summary View</vt:lpstr>
      <vt:lpstr>GTT Leads</vt:lpstr>
      <vt:lpstr>Closed Accounts Summary</vt:lpstr>
      <vt:lpstr>Failed Leads</vt:lpstr>
      <vt:lpstr>External Partners</vt:lpstr>
      <vt:lpstr>'GTT Leads'!Print_Area</vt:lpstr>
    </vt:vector>
  </TitlesOfParts>
  <Manager/>
  <Company>Cirrus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Jamini HARIA (DBT)</dc:creator>
  <cp:keywords/>
  <dc:description/>
  <cp:lastModifiedBy>Mohit Motwani</cp:lastModifiedBy>
  <cp:revision/>
  <dcterms:created xsi:type="dcterms:W3CDTF">2025-07-03T15:41:27Z</dcterms:created>
  <dcterms:modified xsi:type="dcterms:W3CDTF">2026-10-02T16:47:15Z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0x01010059AF4EE47547794CA851D3290FCA2BDB</vt:lpwstr>
  </property>
  <property fmtid="{D5CDD505-2E9C-101B-9397-08002B2CF9AE}" pid="3" name="Business_x0020_Unit">
    <vt:lpwstr>1;#Strategy and Growth|51b2dd1a-446e-44cf-a562-d378ec654c2b</vt:lpwstr>
  </property>
  <property fmtid="{D5CDD505-2E9C-101B-9397-08002B2CF9AE}" pid="4" name="Business Unit">
    <vt:lpwstr>1;#Strategy and Growth|51b2dd1a-446e-44cf-a562-d378ec654c2b</vt:lpwstr>
  </property>
  <property fmtid="{D5CDD505-2E9C-101B-9397-08002B2CF9AE}" pid="5" name="_dlc_DocIdItemGuid">
    <vt:lpwstr>1fe7f50a-c89f-4354-9fdb-81e486b81e3a</vt:lpwstr>
  </property>
  <property fmtid="{D5CDD505-2E9C-101B-9397-08002B2CF9AE}" pid="6" name="MediaServiceImageTags">
    <vt:lpwstr/>
  </property>
  <property fmtid="{D5CDD505-2E9C-101B-9397-08002B2CF9AE}" pid="7" name="MSIP_Label_de311e09-2995-41a9-b03d-8df28636e6f2_Enabled">
    <vt:lpwstr>true</vt:lpwstr>
  </property>
  <property fmtid="{D5CDD505-2E9C-101B-9397-08002B2CF9AE}" pid="8" name="MSIP_Label_de311e09-2995-41a9-b03d-8df28636e6f2_SetDate">
    <vt:lpwstr>2025-10-27T14:23:08Z</vt:lpwstr>
  </property>
  <property fmtid="{D5CDD505-2E9C-101B-9397-08002B2CF9AE}" pid="9" name="MSIP_Label_de311e09-2995-41a9-b03d-8df28636e6f2_Method">
    <vt:lpwstr>Privileged</vt:lpwstr>
  </property>
  <property fmtid="{D5CDD505-2E9C-101B-9397-08002B2CF9AE}" pid="10" name="MSIP_Label_de311e09-2995-41a9-b03d-8df28636e6f2_Name">
    <vt:lpwstr>OS-PERSONAL</vt:lpwstr>
  </property>
  <property fmtid="{D5CDD505-2E9C-101B-9397-08002B2CF9AE}" pid="11" name="MSIP_Label_de311e09-2995-41a9-b03d-8df28636e6f2_SiteId">
    <vt:lpwstr>8fa217ec-33aa-46fb-ad96-dfe68006bb86</vt:lpwstr>
  </property>
  <property fmtid="{D5CDD505-2E9C-101B-9397-08002B2CF9AE}" pid="12" name="MSIP_Label_de311e09-2995-41a9-b03d-8df28636e6f2_ActionId">
    <vt:lpwstr>9da616f2-bb24-44af-9aa7-eafd26eb2b79</vt:lpwstr>
  </property>
  <property fmtid="{D5CDD505-2E9C-101B-9397-08002B2CF9AE}" pid="13" name="MSIP_Label_de311e09-2995-41a9-b03d-8df28636e6f2_ContentBits">
    <vt:lpwstr>3</vt:lpwstr>
  </property>
  <property fmtid="{D5CDD505-2E9C-101B-9397-08002B2CF9AE}" pid="14" name="MSIP_Label_de311e09-2995-41a9-b03d-8df28636e6f2_Tag">
    <vt:lpwstr>10, 0, 1, 2</vt:lpwstr>
  </property>
  <property fmtid="{D5CDD505-2E9C-101B-9397-08002B2CF9AE}" pid="15" name="MSIP_Label_b3deaf9e-5851-4fd2-9b36-a7fa4834fac4_Enabled">
    <vt:lpwstr>true</vt:lpwstr>
  </property>
  <property fmtid="{D5CDD505-2E9C-101B-9397-08002B2CF9AE}" pid="16" name="MSIP_Label_b3deaf9e-5851-4fd2-9b36-a7fa4834fac4_SetDate">
    <vt:lpwstr>2026-06-18T14:23:43Z</vt:lpwstr>
  </property>
  <property fmtid="{D5CDD505-2E9C-101B-9397-08002B2CF9AE}" pid="17" name="MSIP_Label_b3deaf9e-5851-4fd2-9b36-a7fa4834fac4_Method">
    <vt:lpwstr>Privileged</vt:lpwstr>
  </property>
  <property fmtid="{D5CDD505-2E9C-101B-9397-08002B2CF9AE}" pid="18" name="MSIP_Label_b3deaf9e-5851-4fd2-9b36-a7fa4834fac4_Name">
    <vt:lpwstr>OFFICIAL-SENSITIVE</vt:lpwstr>
  </property>
  <property fmtid="{D5CDD505-2E9C-101B-9397-08002B2CF9AE}" pid="19" name="MSIP_Label_b3deaf9e-5851-4fd2-9b36-a7fa4834fac4_SiteId">
    <vt:lpwstr>29c8cbb9-d9af-4c7e-b28b-470f15275e47</vt:lpwstr>
  </property>
  <property fmtid="{D5CDD505-2E9C-101B-9397-08002B2CF9AE}" pid="20" name="MSIP_Label_b3deaf9e-5851-4fd2-9b36-a7fa4834fac4_ActionId">
    <vt:lpwstr>c1c3a25f-f58e-4f86-a3c5-2aa95efb187e</vt:lpwstr>
  </property>
  <property fmtid="{D5CDD505-2E9C-101B-9397-08002B2CF9AE}" pid="21" name="MSIP_Label_b3deaf9e-5851-4fd2-9b36-a7fa4834fac4_ContentBits">
    <vt:lpwstr>3</vt:lpwstr>
  </property>
  <property fmtid="{D5CDD505-2E9C-101B-9397-08002B2CF9AE}" pid="22" name="MSIP_Label_b3deaf9e-5851-4fd2-9b36-a7fa4834fac4_Tag">
    <vt:lpwstr>50, 0, 1, 1</vt:lpwstr>
  </property>
</Properties>
</file>